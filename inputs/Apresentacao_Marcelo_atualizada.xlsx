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lles.silveira\Downloads\"/>
    </mc:Choice>
  </mc:AlternateContent>
  <xr:revisionPtr revIDLastSave="0" documentId="13_ncr:1_{7BC9072F-47AC-4505-ACED-67AB2111C042}" xr6:coauthVersionLast="47" xr6:coauthVersionMax="47" xr10:uidLastSave="{00000000-0000-0000-0000-000000000000}"/>
  <bookViews>
    <workbookView xWindow="-28920" yWindow="-120" windowWidth="29040" windowHeight="15840" activeTab="1" xr2:uid="{4A9F7EAB-E05B-459D-85DF-8EF48DCEC090}"/>
  </bookViews>
  <sheets>
    <sheet name="Hospitais" sheetId="1" r:id="rId1"/>
    <sheet name="Pronto Atendimento" sheetId="2" r:id="rId2"/>
    <sheet name="Clínicas, Diagnósticos, TEA e L" sheetId="3" r:id="rId3"/>
  </sheets>
  <definedNames>
    <definedName name="_xlnm._FilterDatabase" localSheetId="2" hidden="1">'Clínicas, Diagnósticos, TEA e L'!$A$3:$AM$89</definedName>
    <definedName name="_xlnm._FilterDatabase" localSheetId="0" hidden="1">Hospitais!$A$3:$AM$20</definedName>
    <definedName name="_xlnm._FilterDatabase" localSheetId="1" hidden="1">'Pronto Atendimento'!$A$3:$AM$8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M2" i="3" l="1"/>
  <c r="AM2" i="2"/>
  <c r="AM2" i="1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4" i="3"/>
  <c r="AM8" i="2"/>
  <c r="AM7" i="2"/>
  <c r="AM6" i="2"/>
  <c r="AM5" i="2"/>
  <c r="AM4" i="2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Bruno Nepomuceno Rocha Dos Santos</author>
  </authors>
  <commentList>
    <comment ref="Y3" authorId="0" shapeId="0" xr:uid="{824739D2-9456-43D6-BD82-52C70F06518A}">
      <text>
        <r>
          <rPr>
            <b/>
            <sz val="9"/>
            <color indexed="81"/>
            <rFont val="Segoe UI"/>
            <family val="2"/>
          </rPr>
          <t>Bruno Nepomuceno Rocha Dos Santos:</t>
        </r>
        <r>
          <rPr>
            <sz val="9"/>
            <color indexed="81"/>
            <rFont val="Segoe UI"/>
            <family val="2"/>
          </rPr>
          <t xml:space="preserve">
Quando a obra está em atraso ou então a data do término real for maior que a data do término planejado (obras antigas concluídas fora do seu mês planejado)</t>
        </r>
      </text>
    </comment>
    <comment ref="AH3" authorId="0" shapeId="0" xr:uid="{23CE80DA-FBB9-458D-BF2A-2C9619ACC0A5}">
      <text>
        <r>
          <rPr>
            <b/>
            <sz val="9"/>
            <color indexed="81"/>
            <rFont val="Segoe UI"/>
            <family val="2"/>
          </rPr>
          <t>Bruno Nepomuceno Rocha Dos Santos:</t>
        </r>
        <r>
          <rPr>
            <sz val="9"/>
            <color indexed="81"/>
            <rFont val="Segoe UI"/>
            <family val="2"/>
          </rPr>
          <t xml:space="preserve">
Para obras regulatórias que não dá pra mensurar com precisão o m² que atuamos vamos pegar o valor negociado e dividir por 1600.
(Favor destacar os números em vermelho para estes casos)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Bruno Nepomuceno Rocha Dos Santos</author>
  </authors>
  <commentList>
    <comment ref="Y3" authorId="0" shapeId="0" xr:uid="{D5281222-61E2-4301-9974-D15B8F660407}">
      <text>
        <r>
          <rPr>
            <b/>
            <sz val="9"/>
            <color indexed="81"/>
            <rFont val="Segoe UI"/>
            <family val="2"/>
          </rPr>
          <t>Bruno Nepomuceno Rocha Dos Santos:</t>
        </r>
        <r>
          <rPr>
            <sz val="9"/>
            <color indexed="81"/>
            <rFont val="Segoe UI"/>
            <family val="2"/>
          </rPr>
          <t xml:space="preserve">
Quando a obra está em atraso ou então a data do término real for maior que a data do término planejado (obras antigas concluídas fora do seu mês planejado)</t>
        </r>
      </text>
    </comment>
    <comment ref="AH3" authorId="0" shapeId="0" xr:uid="{6DD85133-AC5E-45CA-8E54-AFCD3721A0DD}">
      <text>
        <r>
          <rPr>
            <b/>
            <sz val="9"/>
            <color indexed="81"/>
            <rFont val="Segoe UI"/>
            <family val="2"/>
          </rPr>
          <t>Bruno Nepomuceno Rocha Dos Santos:</t>
        </r>
        <r>
          <rPr>
            <sz val="9"/>
            <color indexed="81"/>
            <rFont val="Segoe UI"/>
            <family val="2"/>
          </rPr>
          <t xml:space="preserve">
Para obras regulatórias que não dá pra mensurar com precisão o m² que atuamos vamos pegar o valor negociado e dividir por 1600.
(Favor destacar os números em vermelho para estes casos)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Bruno Nepomuceno Rocha Dos Santos</author>
  </authors>
  <commentList>
    <comment ref="Y3" authorId="0" shapeId="0" xr:uid="{BF234965-411F-45E2-A2D7-FA92C78216E5}">
      <text>
        <r>
          <rPr>
            <b/>
            <sz val="9"/>
            <color indexed="81"/>
            <rFont val="Segoe UI"/>
            <family val="2"/>
          </rPr>
          <t>Bruno Nepomuceno Rocha Dos Santos:</t>
        </r>
        <r>
          <rPr>
            <sz val="9"/>
            <color indexed="81"/>
            <rFont val="Segoe UI"/>
            <family val="2"/>
          </rPr>
          <t xml:space="preserve">
Quando a obra está em atraso ou então a data do término real for maior que a data do término planejado (obras antigas concluídas fora do seu mês planejado)</t>
        </r>
      </text>
    </comment>
    <comment ref="AH3" authorId="0" shapeId="0" xr:uid="{DC6D1C3F-8A43-49A2-8D56-67D60F1393F5}">
      <text>
        <r>
          <rPr>
            <b/>
            <sz val="9"/>
            <color indexed="81"/>
            <rFont val="Segoe UI"/>
            <family val="2"/>
          </rPr>
          <t>Bruno Nepomuceno Rocha Dos Santos:</t>
        </r>
        <r>
          <rPr>
            <sz val="9"/>
            <color indexed="81"/>
            <rFont val="Segoe UI"/>
            <family val="2"/>
          </rPr>
          <t xml:space="preserve">
Para obras regulatórias que não dá pra mensurar com precisão o m² que atuamos vamos pegar o valor negociado e dividir por 1600.
(Favor destacar os números em vermelho para estes casos)</t>
        </r>
      </text>
    </comment>
  </commentList>
</comments>
</file>

<file path=xl/sharedStrings.xml><?xml version="1.0" encoding="utf-8"?>
<sst xmlns="http://schemas.openxmlformats.org/spreadsheetml/2006/main" count="2422" uniqueCount="415">
  <si>
    <t>Mês</t>
  </si>
  <si>
    <t>Nome Obra</t>
  </si>
  <si>
    <t>Área</t>
  </si>
  <si>
    <t>Chave (AC | Slide 4)</t>
  </si>
  <si>
    <t>Empresa</t>
  </si>
  <si>
    <t>Praça</t>
  </si>
  <si>
    <t>Estado</t>
  </si>
  <si>
    <t>Região</t>
  </si>
  <si>
    <t>Início Plan.</t>
  </si>
  <si>
    <t>Término Plan.</t>
  </si>
  <si>
    <t>Término Real</t>
  </si>
  <si>
    <t>Status</t>
  </si>
  <si>
    <t>Classificação de Obra</t>
  </si>
  <si>
    <t>Nivel de Obra</t>
  </si>
  <si>
    <t>Fim Obra</t>
  </si>
  <si>
    <t>Dias</t>
  </si>
  <si>
    <t>Conclusão</t>
  </si>
  <si>
    <t>Tipo Obra (2)</t>
  </si>
  <si>
    <t>Tipo de Obras</t>
  </si>
  <si>
    <t>Tipologia de  Obras</t>
  </si>
  <si>
    <t>Obra do mês</t>
  </si>
  <si>
    <t>Aditivo</t>
  </si>
  <si>
    <t>Antecipada?</t>
  </si>
  <si>
    <t>Atrasado?</t>
  </si>
  <si>
    <t>Regional Obras</t>
  </si>
  <si>
    <t>Responsável Obras</t>
  </si>
  <si>
    <t>Sala Técnica</t>
  </si>
  <si>
    <t>Valor Negociado</t>
  </si>
  <si>
    <t>Aditivos</t>
  </si>
  <si>
    <t>Alteração de Escopo</t>
  </si>
  <si>
    <t>Equip./Mob.</t>
  </si>
  <si>
    <t>Área (m²)</t>
  </si>
  <si>
    <t>% Adit.</t>
  </si>
  <si>
    <t>Ref. Auditoria</t>
  </si>
  <si>
    <t>GAP (ST &gt; VN)</t>
  </si>
  <si>
    <t>%</t>
  </si>
  <si>
    <t>Preço m²</t>
  </si>
  <si>
    <t>3131.Retrofit HB Saúde</t>
  </si>
  <si>
    <t>Obra</t>
  </si>
  <si>
    <t>Retrofit HB Saúde - 13041,17 m²</t>
  </si>
  <si>
    <t>Hapvida</t>
  </si>
  <si>
    <t>São José do Rio Preto</t>
  </si>
  <si>
    <t>SP</t>
  </si>
  <si>
    <t>SE</t>
  </si>
  <si>
    <t>Concluída</t>
  </si>
  <si>
    <t>Verticalização</t>
  </si>
  <si>
    <t>Retrofit</t>
  </si>
  <si>
    <t>Nov/23</t>
  </si>
  <si>
    <t>Concluída com Atraso</t>
  </si>
  <si>
    <t>Hospitais</t>
  </si>
  <si>
    <t>NÃO</t>
  </si>
  <si>
    <t>SIM</t>
  </si>
  <si>
    <t>Cyro Pimenta</t>
  </si>
  <si>
    <t>Bianca Galvão</t>
  </si>
  <si>
    <t>Maior</t>
  </si>
  <si>
    <t>4065.Reabertura HS Analia Franco (2ª fase)</t>
  </si>
  <si>
    <t>Reabertura HS Analia Franco (2ª fase) - 1197,56 m²</t>
  </si>
  <si>
    <t>São Paulo</t>
  </si>
  <si>
    <t>Suficiência de Rede</t>
  </si>
  <si>
    <t>Jan/25</t>
  </si>
  <si>
    <t>Concluída no Prazo</t>
  </si>
  <si>
    <t>Domingos Neto</t>
  </si>
  <si>
    <t>4032.Reabertura do HS Layr Maia</t>
  </si>
  <si>
    <t>Reabertura do HS Layr Maia - 307,84 m²</t>
  </si>
  <si>
    <t>Belém</t>
  </si>
  <si>
    <t>PA</t>
  </si>
  <si>
    <t>NO</t>
  </si>
  <si>
    <t>Abr/25</t>
  </si>
  <si>
    <t>Allisson Duarte</t>
  </si>
  <si>
    <t>Menor</t>
  </si>
  <si>
    <t>Jun/25</t>
  </si>
  <si>
    <t>0000.Transformação PA em Hospital UASA</t>
  </si>
  <si>
    <t>Transformação PA em Hospital UASA - 562,9 m²</t>
  </si>
  <si>
    <t>Santo André</t>
  </si>
  <si>
    <t>Mar/26</t>
  </si>
  <si>
    <t>Renan Gamez</t>
  </si>
  <si>
    <t>9012.PA Lifecenter Contagem</t>
  </si>
  <si>
    <t>PA Lifecenter Contagem - 5507,67 m²</t>
  </si>
  <si>
    <t>NDI</t>
  </si>
  <si>
    <t>Contagem</t>
  </si>
  <si>
    <t>MG</t>
  </si>
  <si>
    <t>Nova/R</t>
  </si>
  <si>
    <t>Mar/23</t>
  </si>
  <si>
    <t>Nova Unidade</t>
  </si>
  <si>
    <t>Pronto Atendimentos e Clínicas Complexas</t>
  </si>
  <si>
    <t>Cyro</t>
  </si>
  <si>
    <t>Domingos Manuel</t>
  </si>
  <si>
    <t>2013.HC Santa Efigênia (Contorno) - 2ª fase</t>
  </si>
  <si>
    <t>HC Santa Efigênia (Contorno) - 2ª fase - 3714,55 m²</t>
  </si>
  <si>
    <t>Belo Horizonte</t>
  </si>
  <si>
    <t>Nova</t>
  </si>
  <si>
    <t>Mai/23</t>
  </si>
  <si>
    <t>Nova Unidade (Green Field)</t>
  </si>
  <si>
    <t>Allison Cardozo</t>
  </si>
  <si>
    <t>9040.Novo PA Venda Nova</t>
  </si>
  <si>
    <t>Novo PA Venda Nova - 3046,44 m²</t>
  </si>
  <si>
    <t>Venda Nova</t>
  </si>
  <si>
    <t>Jun/23</t>
  </si>
  <si>
    <t>3593.Adequação PA Pediátrico HS América</t>
  </si>
  <si>
    <t>Adequação PA Pediátrico HS América - 953,81 m²</t>
  </si>
  <si>
    <t>Goiânia</t>
  </si>
  <si>
    <t>GO</t>
  </si>
  <si>
    <t>CO</t>
  </si>
  <si>
    <t>Adequação Regulatória</t>
  </si>
  <si>
    <t>0000.Pronto Atendimento Penha (RJ)</t>
  </si>
  <si>
    <t>Pronto Atendimento Penha (RJ) - 1381,01 m²</t>
  </si>
  <si>
    <t>Rio de Janeiro</t>
  </si>
  <si>
    <t>RJ</t>
  </si>
  <si>
    <t>Obra Estratégica</t>
  </si>
  <si>
    <t>Fev/26</t>
  </si>
  <si>
    <t>3287.TEA HS Celina Guimarães</t>
  </si>
  <si>
    <t>TEA HS Celina Guimarães - 289,02 m²</t>
  </si>
  <si>
    <t>Mossoró</t>
  </si>
  <si>
    <t>RN</t>
  </si>
  <si>
    <t>NE</t>
  </si>
  <si>
    <t>Fev/23</t>
  </si>
  <si>
    <t>Clínicas Ambulatoriais, Laboratórios e Coletas</t>
  </si>
  <si>
    <t>Danniel Lima</t>
  </si>
  <si>
    <t>3227.TEA HC Bucarein</t>
  </si>
  <si>
    <t>TEA HC Bucarein - 132,9 m²</t>
  </si>
  <si>
    <t>Joinville</t>
  </si>
  <si>
    <t>SC</t>
  </si>
  <si>
    <t>SU</t>
  </si>
  <si>
    <t>Jan/23</t>
  </si>
  <si>
    <t>Airton</t>
  </si>
  <si>
    <t>Guilherme Lorenzato</t>
  </si>
  <si>
    <t>1397.Substituição HC Pituba 2</t>
  </si>
  <si>
    <t>Substituição HC Pituba 2 - 1637,52 m²</t>
  </si>
  <si>
    <t>Salvador</t>
  </si>
  <si>
    <t>BA</t>
  </si>
  <si>
    <t>Suficiência de rede</t>
  </si>
  <si>
    <t>Guilherme Matos</t>
  </si>
  <si>
    <t>3236.Nova Coleta Campina Grande</t>
  </si>
  <si>
    <t>Nova Coleta Campina Grande - 163,11 m²</t>
  </si>
  <si>
    <t>Campina Grande</t>
  </si>
  <si>
    <t>PB</t>
  </si>
  <si>
    <t>Leonardo Aragão</t>
  </si>
  <si>
    <t>3291.TEA Fortaleza</t>
  </si>
  <si>
    <t>TEA Fortaleza - 608,83 m²</t>
  </si>
  <si>
    <t>Fortaleza</t>
  </si>
  <si>
    <t>CE</t>
  </si>
  <si>
    <t>Pedro Machado</t>
  </si>
  <si>
    <t>3288.TEA Maceió</t>
  </si>
  <si>
    <t>TEA Maceió - 217,44 m²</t>
  </si>
  <si>
    <t>Maceió</t>
  </si>
  <si>
    <t>AL</t>
  </si>
  <si>
    <t>Felipe Cabral</t>
  </si>
  <si>
    <t>3569.TEA Arujá</t>
  </si>
  <si>
    <t>TEA Arujá - 495 m²</t>
  </si>
  <si>
    <t>Arujá</t>
  </si>
  <si>
    <t>Jul/23</t>
  </si>
  <si>
    <t>Marcio</t>
  </si>
  <si>
    <t>Kelly Carlene</t>
  </si>
  <si>
    <t>3568.TEA Santo André</t>
  </si>
  <si>
    <t>TEA Santo André - 966,81 m²</t>
  </si>
  <si>
    <t>Gustavo Rossi</t>
  </si>
  <si>
    <t>9082.SADT HS Santana</t>
  </si>
  <si>
    <t>SADT HS Santana - 496 m²</t>
  </si>
  <si>
    <t>Mogi das Cruzes</t>
  </si>
  <si>
    <t>3616.Adequação Capelas HS Salvalus</t>
  </si>
  <si>
    <t>Adequação Capelas HS Salvalus - 81,19 m²</t>
  </si>
  <si>
    <t>Fabiana Violante</t>
  </si>
  <si>
    <t>3579.Adequação Capelas CC Mercês</t>
  </si>
  <si>
    <t>Adequação Capelas CC Mercês - 54,65 m²</t>
  </si>
  <si>
    <t>Curitiba</t>
  </si>
  <si>
    <t>PR</t>
  </si>
  <si>
    <t>Juliana Carvalho</t>
  </si>
  <si>
    <t>3595.Adequação Capelas HS Santa Martha</t>
  </si>
  <si>
    <t>Adequação Capelas HS Santa Martha - 108,44 m²</t>
  </si>
  <si>
    <t>Niterói</t>
  </si>
  <si>
    <t>Leonardo Ignacio</t>
  </si>
  <si>
    <t>3034.Transferência HC Piracicaba</t>
  </si>
  <si>
    <t>Transferência HC Piracicaba - 1247,72 m²</t>
  </si>
  <si>
    <t>Obra emergencial</t>
  </si>
  <si>
    <t>Diego</t>
  </si>
  <si>
    <t>Diego Augusto</t>
  </si>
  <si>
    <t>3545.TEA Taboão da Serra</t>
  </si>
  <si>
    <t>TEA Taboão da Serra - 274,07 m²</t>
  </si>
  <si>
    <t>Taboão da Serra</t>
  </si>
  <si>
    <t>Ago/23</t>
  </si>
  <si>
    <t>Marcio Carmona</t>
  </si>
  <si>
    <t>3713.TEA Guarulhos</t>
  </si>
  <si>
    <t>TEA Guarulhos - 270 m²</t>
  </si>
  <si>
    <t>Guarulhos</t>
  </si>
  <si>
    <t>Jan/24</t>
  </si>
  <si>
    <t>3716.TEA Mogi das Cruzes 2</t>
  </si>
  <si>
    <t>TEA Mogi das Cruzes 2 - 257,92 m²</t>
  </si>
  <si>
    <t>Gilberto Morais</t>
  </si>
  <si>
    <t>3541.TEA Fortaleza 2 (Pereira Filgueiras)</t>
  </si>
  <si>
    <t>TEA Fortaleza 2 (Pereira Filgueiras) - 67,01 m²</t>
  </si>
  <si>
    <t>3759.TEA Manaus (STO Centro Médico)</t>
  </si>
  <si>
    <t>TEA Manaus (STO Centro Médico) - 198,64 m²</t>
  </si>
  <si>
    <t>Manaus</t>
  </si>
  <si>
    <t>AM</t>
  </si>
  <si>
    <t>Mar/24</t>
  </si>
  <si>
    <t>3919.Novo TEA Santo André (2024)</t>
  </si>
  <si>
    <t>Novo TEA Santo André (2024) - 52,58 m²</t>
  </si>
  <si>
    <t>Jun/24</t>
  </si>
  <si>
    <t>3928.Novo TEA Limeira (2024)</t>
  </si>
  <si>
    <t>Novo TEA Limeira (2024) - 304,42 m²</t>
  </si>
  <si>
    <t>Limeira</t>
  </si>
  <si>
    <t>Ago/24</t>
  </si>
  <si>
    <t>3895.Novo TEA Belém (2024)</t>
  </si>
  <si>
    <t>Novo TEA Belém (2024) - 381,46 m²</t>
  </si>
  <si>
    <t>Set/24</t>
  </si>
  <si>
    <t>3915.Novo TEA Zona Sul SP (2024)</t>
  </si>
  <si>
    <t>Novo TEA Zona Sul SP (2024) - 143,31 m²</t>
  </si>
  <si>
    <t>3904.Novo TEA Campina Grande (2024)</t>
  </si>
  <si>
    <t>Novo TEA Campina Grande (2024) - 409,46 m²</t>
  </si>
  <si>
    <t>Out/24</t>
  </si>
  <si>
    <t>Nov/24</t>
  </si>
  <si>
    <t>São Bernardo do Campo</t>
  </si>
  <si>
    <t>-</t>
  </si>
  <si>
    <t>Não Concluída</t>
  </si>
  <si>
    <t>4018.Ampliação Clínica Vieiralves</t>
  </si>
  <si>
    <t>Ampliação Clínica Vieiralves - 661,37 m²</t>
  </si>
  <si>
    <t>4037.Nova Clínica Santo André (UASA)</t>
  </si>
  <si>
    <t>Nova Clínica Santo André (UASA) - 27,64 m²</t>
  </si>
  <si>
    <t>3922.Novo TEA Ribeirão Pires (2024)</t>
  </si>
  <si>
    <t>Novo TEA Ribeirão Pires (2024) - 43,53 m²</t>
  </si>
  <si>
    <t>Ribeirão Pires</t>
  </si>
  <si>
    <t>Fev/25</t>
  </si>
  <si>
    <t>4016.Nova Clínica Mogi</t>
  </si>
  <si>
    <t>Nova Clínica Mogi - 1139,7 m²</t>
  </si>
  <si>
    <t>4019.Nova Clínica Brasília (Brasiliense)</t>
  </si>
  <si>
    <t>Nova Clínica Brasília (Brasiliense) - 849,19 m²</t>
  </si>
  <si>
    <t>Brasília</t>
  </si>
  <si>
    <t>DF</t>
  </si>
  <si>
    <t>Mar/25</t>
  </si>
  <si>
    <t>4020.Nova Clínica São Luís (Cohab)</t>
  </si>
  <si>
    <t>Nova Clínica São Luís (Cohab) - 680 m²</t>
  </si>
  <si>
    <t>São Luís</t>
  </si>
  <si>
    <t>MA</t>
  </si>
  <si>
    <t>4015.Nova Clínica Sorocaba</t>
  </si>
  <si>
    <t>Nova Clínica Sorocaba - 1286,85 m²</t>
  </si>
  <si>
    <t>Sorocaba</t>
  </si>
  <si>
    <t>4090.Nova Coleta Zona Sul (João Dias)</t>
  </si>
  <si>
    <t>Nova Coleta Zona Sul (João Dias) - 338,21 m²</t>
  </si>
  <si>
    <t>4084.Nova Coleta Zona Norte (Santana)</t>
  </si>
  <si>
    <t>Nova Coleta Zona Norte (Santana) - 413,24 m²</t>
  </si>
  <si>
    <t>4089.Nova Coleta Zona Sul (Vila Mariana)</t>
  </si>
  <si>
    <t>Nova Coleta Zona Sul (Vila Mariana) - 170,37 m²</t>
  </si>
  <si>
    <t>4088.Nova Coleta Zona Oeste (Lapa)</t>
  </si>
  <si>
    <t>Nova Coleta Zona Oeste (Lapa) - 412 m²</t>
  </si>
  <si>
    <t>4079.Nova Coleta Zona Leste (Penha)</t>
  </si>
  <si>
    <t>Nova Coleta Zona Leste (Penha) - 49,33 m²</t>
  </si>
  <si>
    <t>4128.Clínica/Lab Zona Oeste Butantã (SP)</t>
  </si>
  <si>
    <t>Clínica/Lab Zona Oeste Butantã (SP) - 193 m²</t>
  </si>
  <si>
    <t>Jul/25</t>
  </si>
  <si>
    <t>0000.Capela Oncologia ABC São Bernardo</t>
  </si>
  <si>
    <t>Capela Oncologia ABC São Bernardo - 183 m²</t>
  </si>
  <si>
    <t>4103.Nova Unidade Diagnóstico Flagship SP (Fase 2)</t>
  </si>
  <si>
    <t>Nova Unidade Diagnóstico Flagship SP (Fase 2) - 51,13 m²</t>
  </si>
  <si>
    <t>Mega Unidade (Clínica\Diagnostico)</t>
  </si>
  <si>
    <t>4080.Nova Coleta Zona Leste (Tatuapé)</t>
  </si>
  <si>
    <t>Nova Coleta Zona Leste (Tatuapé) - 346 m²</t>
  </si>
  <si>
    <t>Ago/25</t>
  </si>
  <si>
    <t>0000.Nova Coleta Parque 10 (Nilton Lins)</t>
  </si>
  <si>
    <t>Nova Coleta Parque 10 (Nilton Lins) - 28,88 m²</t>
  </si>
  <si>
    <t>Eficiência Operacional</t>
  </si>
  <si>
    <t>Set/25</t>
  </si>
  <si>
    <t>0000.Novo NTE SP</t>
  </si>
  <si>
    <t>Novo NTE SP - 3079 m²</t>
  </si>
  <si>
    <t>Out/25</t>
  </si>
  <si>
    <t>4126.Clínica/Lab/Ima Zona Leste 1 Celso Garcia Nasa (SP)</t>
  </si>
  <si>
    <t>Clínica/Lab/Ima Zona Leste 1 Celso Garcia Nasa (SP) - 581,09 m²</t>
  </si>
  <si>
    <t>Em atraso</t>
  </si>
  <si>
    <t>4197.Transferência Clínica Areião</t>
  </si>
  <si>
    <t>Transferência Clínica Areião - 350 m²</t>
  </si>
  <si>
    <t>0000.Ampliação TEA Natal (2025)</t>
  </si>
  <si>
    <t>Ampliação TEA Natal (2025) - 252,1 m²</t>
  </si>
  <si>
    <t>Natal</t>
  </si>
  <si>
    <t>4127.Clínica/Lab/Ima Zona Norte Henrique Mazzei Tucuruvi (SP)</t>
  </si>
  <si>
    <t>Clínica/Lab/Ima Zona Norte Henrique Mazzei Tucuruvi (SP) - 3349,08 m²</t>
  </si>
  <si>
    <t>Nov/25</t>
  </si>
  <si>
    <t>4129.Clínica/Lab/Ima Zona Sul 1 e 2 Adolfo Pinheiro (SP) - Fase 2</t>
  </si>
  <si>
    <t>Clínica/Lab/Ima Zona Sul 1 e 2 Adolfo Pinheiro (SP) - Fase 2 - 1216,64 m²</t>
  </si>
  <si>
    <t>4195.Nova Clínica e Coleta Campinas (Bosque Maia)</t>
  </si>
  <si>
    <t>Nova Clínica e Coleta Campinas (Bosque Maia) - 579,24 m²</t>
  </si>
  <si>
    <t>Campinas</t>
  </si>
  <si>
    <t>4194.Nova Clínica Nova Iguaçu</t>
  </si>
  <si>
    <t>Nova Clínica Nova Iguaçu - 538,72 m²</t>
  </si>
  <si>
    <t>Nova Iguaçu</t>
  </si>
  <si>
    <t>4081.Nova Coleta Zona Leste Parque do Carmo (Itaquera)</t>
  </si>
  <si>
    <t>Nova Coleta Zona Leste Parque do Carmo (Itaquera) - 1159 m²</t>
  </si>
  <si>
    <t>4196.Nova Clínica e Fisioterapia Horto Florestal Salvador</t>
  </si>
  <si>
    <t>Nova Clínica e Fisioterapia Horto Florestal Salvador - 649,78 m²</t>
  </si>
  <si>
    <t>0000.Novo Posto de Coleta Sorocaba</t>
  </si>
  <si>
    <t>Novo Posto de Coleta Sorocaba - 60,8 m²</t>
  </si>
  <si>
    <t>4082.Nova Coleta Zona Leste (Mooca)</t>
  </si>
  <si>
    <t>Nova Coleta Zona Leste (Mooca) - 1693,57 m²</t>
  </si>
  <si>
    <t>0000.Nova Clínica da Criança e Mulher Fortaleza Fase 1</t>
  </si>
  <si>
    <t>Nova Clínica da Criança e Mulher Fortaleza Fase 1 - 334,49 m²</t>
  </si>
  <si>
    <t>Dez/25</t>
  </si>
  <si>
    <t>4183.Novo TEA Curitiba 1 Rep. Argentina (2025)</t>
  </si>
  <si>
    <t>Novo TEA Curitiba 1 Rep. Argentina (2025) - 878,37 m²</t>
  </si>
  <si>
    <t>4091.Novo TEA e Coleta Zona Sul Autódromo (2025)</t>
  </si>
  <si>
    <t>Novo TEA e Coleta Zona Sul Autódromo (2025) - 266,5 m²</t>
  </si>
  <si>
    <t>0000.Oncologia Clínica Jaraguá do Sul</t>
  </si>
  <si>
    <t>Oncologia Clínica Jaraguá do Sul - 69,16 m²</t>
  </si>
  <si>
    <t>Jaraguá do Sul</t>
  </si>
  <si>
    <t>Obra estratégica</t>
  </si>
  <si>
    <t>0000.Ampliação 03 consultórios UA Cidade Nova</t>
  </si>
  <si>
    <t>Ampliação 03 consultórios UA Cidade Nova - 1201,55 m²</t>
  </si>
  <si>
    <t>4181.Novo TEA Recife Madalena (2025)</t>
  </si>
  <si>
    <t>Novo TEA Recife Madalena (2025) - 160 m²</t>
  </si>
  <si>
    <t>Recife</t>
  </si>
  <si>
    <t>PE</t>
  </si>
  <si>
    <t>9929.Transferência Notrelife/Clínica Guarulhos</t>
  </si>
  <si>
    <t>Transferência Notrelife/Clínica Guarulhos - 17,54 m²</t>
  </si>
  <si>
    <t>4190.Novo TEA Zona Sul Jabaquara Cidade Vargas (2025)</t>
  </si>
  <si>
    <t>Novo TEA Zona Sul Jabaquara Cidade Vargas (2025) - 1203 m²</t>
  </si>
  <si>
    <t>0000.Nova Coleta São Bernardo</t>
  </si>
  <si>
    <t>Nova Coleta São Bernardo - 481,65 m²</t>
  </si>
  <si>
    <t>0000.Novo Medprev Nilton Lins</t>
  </si>
  <si>
    <t>Novo Medprev Nilton Lins - 374,18 m²</t>
  </si>
  <si>
    <t>4173.Novo TEA São Luís Jerônimo Albuquerque (2025)</t>
  </si>
  <si>
    <t>Novo TEA São Luís Jerônimo Albuquerque (2025) - 447 m²</t>
  </si>
  <si>
    <t>4166.Novo TEA Manaus Nilton Lins (2025)</t>
  </si>
  <si>
    <t>Novo TEA Manaus Nilton Lins (2025) - 1693,57 m²</t>
  </si>
  <si>
    <t>0000.Nova Clínica da Criança e Mulher Fortaleza Fase 2</t>
  </si>
  <si>
    <t>Nova Clínica da Criança e Mulher Fortaleza Fase 2 - 1129,6 m²</t>
  </si>
  <si>
    <t>4025.Hemodiálise HS Recife (Ponte Verde)</t>
  </si>
  <si>
    <t>Hemodiálise HS Recife (Ponte Verde) - 890 m²</t>
  </si>
  <si>
    <t>Jan/26</t>
  </si>
  <si>
    <t>4170.Novo Medprev Maracanaú</t>
  </si>
  <si>
    <t>Novo Medprev Maracanaú - 5214,2 m²</t>
  </si>
  <si>
    <t>Maracanaú</t>
  </si>
  <si>
    <t>4189.Novo TEA Zona Leste Ermelino Matarazzo (2025)</t>
  </si>
  <si>
    <t>Novo TEA Zona Leste Ermelino Matarazzo (2025) - 338,9 m²</t>
  </si>
  <si>
    <t>4189.Novo TEA Zona Leste Belém (2025) - Fase 2</t>
  </si>
  <si>
    <t>Novo TEA Zona Leste Belém (2025) - Fase 2 - 850 m²</t>
  </si>
  <si>
    <t>4183.Novo TEA Curitiba 2 Fanny (2025)</t>
  </si>
  <si>
    <t>Novo TEA Curitiba 2 Fanny (2025) - 1325,11 m²</t>
  </si>
  <si>
    <t>0000.Transferência da Clínica Bauru</t>
  </si>
  <si>
    <t>Transferência da Clínica Bauru - 838,42 m²</t>
  </si>
  <si>
    <t>Bauru</t>
  </si>
  <si>
    <t>0000.Nova Clínica Itupeva</t>
  </si>
  <si>
    <t>Nova Clínica Itupeva - 885,5 m²</t>
  </si>
  <si>
    <t>Itupeva</t>
  </si>
  <si>
    <t>0000.Transferência TEA São José dos Campos</t>
  </si>
  <si>
    <t>Transferência TEA São José dos Campos - 22,96 m²</t>
  </si>
  <si>
    <t>São José dos Campos</t>
  </si>
  <si>
    <t>Clínica/Lab/Ima Zona Leste 1 Celso Garcia Nasa (SP) - 649,78 m²</t>
  </si>
  <si>
    <t>Novo Posto de Coleta Sorocaba - 936,38 m²</t>
  </si>
  <si>
    <t>0000.Lab/Ima Zona Leste 2 Ermelino Matarazzo (SP)</t>
  </si>
  <si>
    <t>Lab/Ima Zona Leste 2 Ermelino Matarazzo (SP) - 0 m²</t>
  </si>
  <si>
    <t>4179.Novo TEA Paulista Janga PE (2025)</t>
  </si>
  <si>
    <t>Novo TEA Paulista Janga PE (2025) - 177,32 m²</t>
  </si>
  <si>
    <t>Paulista</t>
  </si>
  <si>
    <t>Abr/26</t>
  </si>
  <si>
    <t>4325.Novo TEA Campina Grande (2025)</t>
  </si>
  <si>
    <t>Novo TEA Campina Grande (2025) - 70 m²</t>
  </si>
  <si>
    <t>4178.Novo TEA João Pessoa Rui Barbosa (2025)</t>
  </si>
  <si>
    <t>Novo TEA João Pessoa Rui Barbosa (2025) - 231,2 m²</t>
  </si>
  <si>
    <t>João Pessoa</t>
  </si>
  <si>
    <t>Mai/26</t>
  </si>
  <si>
    <t>4187.Novo TEA São Vicente Vila Cascatinha (2025)</t>
  </si>
  <si>
    <t>Novo TEA São Vicente Vila Cascatinha (2025) - 66,96 m²</t>
  </si>
  <si>
    <t>São Vicente</t>
  </si>
  <si>
    <t>4198.Nova Clínica Santos Amador Bueno</t>
  </si>
  <si>
    <t>Nova Clínica Santos Amador Bueno - 67,17 m²</t>
  </si>
  <si>
    <t>Santos</t>
  </si>
  <si>
    <t>0000.Nova Clínica Brasília Asa Norte</t>
  </si>
  <si>
    <t>Nova Clínica Brasília Asa Norte - 81,64 m²</t>
  </si>
  <si>
    <t>4085.Nova Coleta Zona Central Bela Cintra (Paraíso)</t>
  </si>
  <si>
    <t>Nova Coleta Zona Central Bela Cintra (Paraíso) - 5635,45 m²</t>
  </si>
  <si>
    <t>9067.Coleta Anápolis</t>
  </si>
  <si>
    <t>Coleta Anápolis - 288,32 m²</t>
  </si>
  <si>
    <t>Anápolis</t>
  </si>
  <si>
    <t>Nova unidade</t>
  </si>
  <si>
    <t>Jul/26</t>
  </si>
  <si>
    <t>9064.Ampliação Medprev Fortaleza</t>
  </si>
  <si>
    <t>Ampliação Medprev Fortaleza - 158,98 m²</t>
  </si>
  <si>
    <t>Ampliação</t>
  </si>
  <si>
    <t>3774.Novo TEA Maracanaú (2024)</t>
  </si>
  <si>
    <t>Novo TEA Maracanaú (2024) - 170,7 m²</t>
  </si>
  <si>
    <t>Jul/24</t>
  </si>
  <si>
    <t>3900.Novo TEA Mossoró (2024)</t>
  </si>
  <si>
    <t>Novo TEA Mossoró (2024) - 282,64 m²</t>
  </si>
  <si>
    <t>3914.Novo TEA Ferraz (2024)</t>
  </si>
  <si>
    <t>Novo TEA Ferraz (2024) - 106,42 m²</t>
  </si>
  <si>
    <t>Ferraz de Vasconcelos</t>
  </si>
  <si>
    <t>3924.Novo TEA Guarulhos (2024)</t>
  </si>
  <si>
    <t>Novo TEA Guarulhos (2024) - 346 m²</t>
  </si>
  <si>
    <t>9063.PS HS São Lucas</t>
  </si>
  <si>
    <t>PS HS São Lucas - 303 m²</t>
  </si>
  <si>
    <t>Americana</t>
  </si>
  <si>
    <t>Márcio</t>
  </si>
  <si>
    <t>Elaine Noronha</t>
  </si>
  <si>
    <t>Igual</t>
  </si>
  <si>
    <t>3622.Maternidade HS Santa Martha</t>
  </si>
  <si>
    <t>Maternidade HS Santa Martha - 1250,13 m²</t>
  </si>
  <si>
    <t>Set/23</t>
  </si>
  <si>
    <t>3639.Retrofit Maternidade HS São Lucas</t>
  </si>
  <si>
    <t>Retrofit Maternidade HS São Lucas - 406,47 m²</t>
  </si>
  <si>
    <t>Mai/24</t>
  </si>
  <si>
    <t>Anderson Vieira</t>
  </si>
  <si>
    <t>3539.Retrofit Maternidade HS Santana (Mogi das Cruzes)</t>
  </si>
  <si>
    <t>Retrofit Maternidade HS Santana (Mogi das Cruzes) - 942,07 m²</t>
  </si>
  <si>
    <t>Retrofit + Ampliação</t>
  </si>
  <si>
    <t>3438.Nova Psiquiatria HS Ana Lima</t>
  </si>
  <si>
    <t>Nova Psiquiatria HS Ana Lima - 298,19 m²</t>
  </si>
  <si>
    <t>3523.Maternidade e Laboratório HS Humaniza</t>
  </si>
  <si>
    <t>Maternidade e Laboratório HS Humaniza - 41,8 m²</t>
  </si>
  <si>
    <t>Porto Alegre</t>
  </si>
  <si>
    <t>RS</t>
  </si>
  <si>
    <t>0000.Ampliação de Leitos HS Santa Maria (CE) - Enfermaria (Virose)</t>
  </si>
  <si>
    <t>Ampliação de Leitos HS Santa Maria (CE) - Enfermaria (Virose) - 709 m²</t>
  </si>
  <si>
    <t>0000.Ampliação de Leitos HS Santa Maria (CE) - UTI (Virose)</t>
  </si>
  <si>
    <t>Ampliação de Leitos HS Santa Maria (CE) - UTI (Virose) - 568,5 m²</t>
  </si>
  <si>
    <t>0000.Ampliação de Leitos HS Nossa Senhora do Rosário (SP) (Virose)</t>
  </si>
  <si>
    <t>Ampliação de Leitos HS Nossa Senhora do Rosário (SP) (Virose) - 105 m²</t>
  </si>
  <si>
    <t>0000.Ampliação de Leitos HS Santana (SP) (Virose)</t>
  </si>
  <si>
    <t>Ampliação de Leitos HS Santana (SP) (Virose) - 661,63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</si>
</sst>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%"/>
    <numFmt numFmtId="165" formatCode="[$-416]mmm\-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7" fontId="6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7" fontId="6" fillId="4" borderId="1" xfId="0" applyNumberFormat="1" applyFont="1" applyFill="1" applyBorder="1" applyAlignment="1">
      <alignment horizontal="center" vertical="center"/>
    </xf>
    <xf numFmtId="4" fontId="6" fillId="4" borderId="1" xfId="1" applyNumberFormat="1" applyFont="1" applyFill="1" applyBorder="1" applyAlignment="1">
      <alignment horizontal="center" vertical="center"/>
    </xf>
    <xf numFmtId="44" fontId="6" fillId="4" borderId="1" xfId="1" applyFont="1" applyFill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44" fontId="6" fillId="0" borderId="1" xfId="1" applyFont="1" applyFill="1" applyBorder="1" applyAlignment="1">
      <alignment horizontal="right" vertical="center"/>
    </xf>
    <xf numFmtId="4" fontId="6" fillId="0" borderId="1" xfId="1" applyNumberFormat="1" applyFont="1" applyFill="1" applyBorder="1" applyAlignment="1">
      <alignment horizontal="right" vertical="center"/>
    </xf>
    <xf numFmtId="44" fontId="6" fillId="4" borderId="1" xfId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4" fontId="6" fillId="4" borderId="1" xfId="1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4" fontId="7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/>
    </xf>
    <xf numFmtId="14" fontId="8" fillId="4" borderId="1" xfId="0" applyNumberFormat="1" applyFont="1" applyFill="1" applyBorder="1" applyAlignment="1">
      <alignment horizontal="center" vertical="center"/>
    </xf>
    <xf numFmtId="44" fontId="3" fillId="4" borderId="0" xfId="0" applyNumberFormat="1" applyFont="1" applyFill="1"/>
    <xf numFmtId="44" fontId="6" fillId="5" borderId="1" xfId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/>
    </xf>
  </cellXfs>
  <cellStyles count="2">
    <cellStyle name="Moeda" xfId="1" builtinId="4"/>
    <cellStyle name="Normal" xfId="0" builtinId="0"/>
  </cellStyles>
  <dxfs count="59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1B99-B406-48B7-8B27-17BE51B7320A}">
  <dimension ref="A2:AM20"/>
  <sheetViews>
    <sheetView workbookViewId="0">
      <pane xSplit="2" ySplit="3" topLeftCell="U4" activePane="bottomRight" state="frozen"/>
      <selection pane="topRight" activeCell="C1" sqref="C1"/>
      <selection pane="bottomLeft" activeCell="A4" sqref="A4"/>
      <selection pane="bottomRight" activeCell="AM2" sqref="AM2"/>
    </sheetView>
  </sheetViews>
  <sheetFormatPr defaultRowHeight="15" x14ac:dyDescent="0.25"/>
  <cols>
    <col min="1" max="1" width="6.42578125" bestFit="1" customWidth="1"/>
    <col min="2" max="2" width="53.5703125" bestFit="1" customWidth="1"/>
    <col min="3" max="3" width="5" bestFit="1" customWidth="1"/>
    <col min="4" max="4" width="55.7109375" bestFit="1" customWidth="1"/>
    <col min="5" max="5" width="8.85546875" bestFit="1" customWidth="1"/>
    <col min="6" max="6" width="16.85546875" bestFit="1" customWidth="1"/>
    <col min="7" max="8" width="7.140625" bestFit="1" customWidth="1"/>
    <col min="9" max="11" width="10.140625" bestFit="1" customWidth="1"/>
    <col min="12" max="12" width="8.7109375" bestFit="1" customWidth="1"/>
    <col min="13" max="13" width="18" bestFit="1" customWidth="1"/>
    <col min="14" max="14" width="11.28515625" bestFit="1" customWidth="1"/>
    <col min="15" max="15" width="9" bestFit="1" customWidth="1"/>
    <col min="16" max="16" width="6" bestFit="1" customWidth="1"/>
    <col min="17" max="17" width="18.85546875" bestFit="1" customWidth="1"/>
    <col min="18" max="18" width="16.140625" bestFit="1" customWidth="1"/>
    <col min="19" max="19" width="7.5703125" bestFit="1" customWidth="1"/>
    <col min="20" max="20" width="36" bestFit="1" customWidth="1"/>
    <col min="21" max="21" width="12.28515625" bestFit="1" customWidth="1"/>
    <col min="22" max="22" width="5" bestFit="1" customWidth="1"/>
    <col min="23" max="23" width="7.28515625" bestFit="1" customWidth="1"/>
    <col min="24" max="24" width="7.85546875" bestFit="1" customWidth="1"/>
    <col min="25" max="25" width="8.85546875" bestFit="1" customWidth="1"/>
    <col min="26" max="26" width="13.28515625" bestFit="1" customWidth="1"/>
    <col min="27" max="27" width="14" bestFit="1" customWidth="1"/>
    <col min="29" max="30" width="15.85546875" bestFit="1" customWidth="1"/>
    <col min="31" max="32" width="13.42578125" bestFit="1" customWidth="1"/>
    <col min="33" max="33" width="12.28515625" bestFit="1" customWidth="1"/>
    <col min="34" max="34" width="8.85546875" bestFit="1" customWidth="1"/>
    <col min="35" max="35" width="7.140625" bestFit="1" customWidth="1"/>
    <col min="37" max="37" width="13.42578125" bestFit="1" customWidth="1"/>
    <col min="38" max="38" width="6.42578125" bestFit="1" customWidth="1"/>
    <col min="39" max="39" width="12.28515625" bestFit="1" customWidth="1"/>
  </cols>
  <sheetData>
    <row r="2" spans="1:39" x14ac:dyDescent="0.25">
      <c r="AM2" s="31">
        <f>AVERAGE(AM4:AM20)</f>
        <v>2406.0842645045536</v>
      </c>
    </row>
    <row r="3" spans="1:39" ht="4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2" t="s">
        <v>6</v>
      </c>
      <c r="H3" s="2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/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</row>
    <row r="4" spans="1:39" x14ac:dyDescent="0.25">
      <c r="A4" s="4">
        <v>44986</v>
      </c>
      <c r="B4" s="33" t="s">
        <v>385</v>
      </c>
      <c r="C4" s="23" t="s">
        <v>38</v>
      </c>
      <c r="D4" s="6" t="s">
        <v>386</v>
      </c>
      <c r="E4" s="7" t="s">
        <v>78</v>
      </c>
      <c r="F4" s="8" t="s">
        <v>387</v>
      </c>
      <c r="G4" s="8" t="s">
        <v>42</v>
      </c>
      <c r="H4" s="8" t="s">
        <v>43</v>
      </c>
      <c r="I4" s="9">
        <v>44820</v>
      </c>
      <c r="J4" s="9">
        <v>44987</v>
      </c>
      <c r="K4" s="9">
        <v>44987</v>
      </c>
      <c r="L4" s="7" t="s">
        <v>44</v>
      </c>
      <c r="M4" s="7" t="s">
        <v>259</v>
      </c>
      <c r="N4" s="11" t="s">
        <v>46</v>
      </c>
      <c r="O4" s="12" t="s">
        <v>82</v>
      </c>
      <c r="P4" s="13">
        <v>0</v>
      </c>
      <c r="Q4" s="14" t="s">
        <v>60</v>
      </c>
      <c r="R4" s="15" t="s">
        <v>46</v>
      </c>
      <c r="S4" s="15"/>
      <c r="T4" s="15" t="s">
        <v>49</v>
      </c>
      <c r="U4" s="16" t="s">
        <v>51</v>
      </c>
      <c r="V4" s="16" t="s">
        <v>51</v>
      </c>
      <c r="W4" s="16" t="s">
        <v>51</v>
      </c>
      <c r="X4" s="16" t="s">
        <v>50</v>
      </c>
      <c r="Y4" s="16" t="s">
        <v>50</v>
      </c>
      <c r="Z4" s="5" t="s">
        <v>388</v>
      </c>
      <c r="AA4" s="5" t="s">
        <v>389</v>
      </c>
      <c r="AB4" s="5"/>
      <c r="AC4" s="17">
        <v>1412971.27</v>
      </c>
      <c r="AD4" s="17">
        <v>1412971.27</v>
      </c>
      <c r="AE4" s="17">
        <v>0</v>
      </c>
      <c r="AF4" s="17">
        <v>0</v>
      </c>
      <c r="AG4" s="17">
        <v>0</v>
      </c>
      <c r="AH4" s="18">
        <v>303</v>
      </c>
      <c r="AI4" s="11">
        <v>0</v>
      </c>
      <c r="AJ4" s="7" t="s">
        <v>390</v>
      </c>
      <c r="AK4" s="19">
        <v>0</v>
      </c>
      <c r="AL4" s="11">
        <v>0</v>
      </c>
      <c r="AM4" s="19">
        <f>(AD4+AE4)/AH4</f>
        <v>4663.2715181518151</v>
      </c>
    </row>
    <row r="5" spans="1:39" x14ac:dyDescent="0.25">
      <c r="A5" s="4">
        <v>45108</v>
      </c>
      <c r="B5" s="33" t="s">
        <v>156</v>
      </c>
      <c r="C5" s="23" t="s">
        <v>38</v>
      </c>
      <c r="D5" s="6" t="s">
        <v>157</v>
      </c>
      <c r="E5" s="7" t="s">
        <v>78</v>
      </c>
      <c r="F5" s="8" t="s">
        <v>158</v>
      </c>
      <c r="G5" s="8" t="s">
        <v>42</v>
      </c>
      <c r="H5" s="8" t="s">
        <v>43</v>
      </c>
      <c r="I5" s="9">
        <v>45013</v>
      </c>
      <c r="J5" s="9">
        <v>45122</v>
      </c>
      <c r="K5" s="9">
        <v>45122</v>
      </c>
      <c r="L5" s="7" t="s">
        <v>44</v>
      </c>
      <c r="M5" s="7" t="s">
        <v>45</v>
      </c>
      <c r="N5" s="11" t="s">
        <v>46</v>
      </c>
      <c r="O5" s="12" t="s">
        <v>150</v>
      </c>
      <c r="P5" s="13">
        <v>0</v>
      </c>
      <c r="Q5" s="14" t="s">
        <v>60</v>
      </c>
      <c r="R5" s="15" t="s">
        <v>46</v>
      </c>
      <c r="S5" s="15"/>
      <c r="T5" s="15" t="s">
        <v>116</v>
      </c>
      <c r="U5" s="16" t="s">
        <v>51</v>
      </c>
      <c r="V5" s="16" t="s">
        <v>51</v>
      </c>
      <c r="W5" s="16" t="s">
        <v>51</v>
      </c>
      <c r="X5" s="16" t="s">
        <v>50</v>
      </c>
      <c r="Y5" s="16" t="s">
        <v>50</v>
      </c>
      <c r="Z5" s="5" t="s">
        <v>151</v>
      </c>
      <c r="AA5" s="5" t="s">
        <v>155</v>
      </c>
      <c r="AB5" s="5"/>
      <c r="AC5" s="17">
        <v>3800213.46</v>
      </c>
      <c r="AD5" s="17">
        <v>3778874.87</v>
      </c>
      <c r="AE5" s="17">
        <v>114945.38</v>
      </c>
      <c r="AF5" s="17">
        <v>0</v>
      </c>
      <c r="AG5" s="17">
        <v>99786.54</v>
      </c>
      <c r="AH5" s="18">
        <v>496</v>
      </c>
      <c r="AI5" s="11">
        <v>3.0417884675816218E-2</v>
      </c>
      <c r="AJ5" s="7" t="s">
        <v>69</v>
      </c>
      <c r="AK5" s="19">
        <v>-21338.589999999851</v>
      </c>
      <c r="AL5" s="11">
        <v>-5.6151030000298752E-3</v>
      </c>
      <c r="AM5" s="19">
        <f t="shared" ref="AM5:AM20" si="0">(AD5+AE5)/AH5</f>
        <v>7850.4440524193551</v>
      </c>
    </row>
    <row r="6" spans="1:39" x14ac:dyDescent="0.25">
      <c r="A6" s="4">
        <v>45108</v>
      </c>
      <c r="B6" s="33" t="s">
        <v>159</v>
      </c>
      <c r="C6" s="23" t="s">
        <v>38</v>
      </c>
      <c r="D6" s="6" t="s">
        <v>160</v>
      </c>
      <c r="E6" s="7" t="s">
        <v>78</v>
      </c>
      <c r="F6" s="8" t="s">
        <v>57</v>
      </c>
      <c r="G6" s="8" t="s">
        <v>42</v>
      </c>
      <c r="H6" s="8" t="s">
        <v>43</v>
      </c>
      <c r="I6" s="9">
        <v>45080</v>
      </c>
      <c r="J6" s="9">
        <v>45122</v>
      </c>
      <c r="K6" s="9">
        <v>45122</v>
      </c>
      <c r="L6" s="7" t="s">
        <v>44</v>
      </c>
      <c r="M6" s="7" t="s">
        <v>45</v>
      </c>
      <c r="N6" s="11" t="s">
        <v>46</v>
      </c>
      <c r="O6" s="12" t="s">
        <v>150</v>
      </c>
      <c r="P6" s="13">
        <v>0</v>
      </c>
      <c r="Q6" s="14" t="s">
        <v>60</v>
      </c>
      <c r="R6" s="15" t="s">
        <v>46</v>
      </c>
      <c r="S6" s="15"/>
      <c r="T6" s="15" t="s">
        <v>116</v>
      </c>
      <c r="U6" s="16" t="s">
        <v>51</v>
      </c>
      <c r="V6" s="16" t="s">
        <v>51</v>
      </c>
      <c r="W6" s="16" t="s">
        <v>51</v>
      </c>
      <c r="X6" s="16" t="s">
        <v>50</v>
      </c>
      <c r="Y6" s="16" t="s">
        <v>50</v>
      </c>
      <c r="Z6" s="5" t="s">
        <v>151</v>
      </c>
      <c r="AA6" s="5" t="s">
        <v>161</v>
      </c>
      <c r="AB6" s="5"/>
      <c r="AC6" s="17">
        <v>252736.21</v>
      </c>
      <c r="AD6" s="17">
        <v>215144.83</v>
      </c>
      <c r="AE6" s="17">
        <v>0</v>
      </c>
      <c r="AF6" s="17">
        <v>0</v>
      </c>
      <c r="AG6" s="17">
        <v>0</v>
      </c>
      <c r="AH6" s="18">
        <v>81.19</v>
      </c>
      <c r="AI6" s="11">
        <v>0</v>
      </c>
      <c r="AJ6" s="7" t="s">
        <v>69</v>
      </c>
      <c r="AK6" s="19">
        <v>-37591.380000000005</v>
      </c>
      <c r="AL6" s="11">
        <v>-0.14873761064945934</v>
      </c>
      <c r="AM6" s="19">
        <f t="shared" si="0"/>
        <v>2649.8932134499323</v>
      </c>
    </row>
    <row r="7" spans="1:39" x14ac:dyDescent="0.25">
      <c r="A7" s="4">
        <v>45108</v>
      </c>
      <c r="B7" s="33" t="s">
        <v>167</v>
      </c>
      <c r="C7" s="23" t="s">
        <v>38</v>
      </c>
      <c r="D7" s="6" t="s">
        <v>168</v>
      </c>
      <c r="E7" s="7" t="s">
        <v>78</v>
      </c>
      <c r="F7" s="8" t="s">
        <v>169</v>
      </c>
      <c r="G7" s="8" t="s">
        <v>107</v>
      </c>
      <c r="H7" s="8" t="s">
        <v>43</v>
      </c>
      <c r="I7" s="9">
        <v>45080</v>
      </c>
      <c r="J7" s="9">
        <v>45122</v>
      </c>
      <c r="K7" s="9">
        <v>45122</v>
      </c>
      <c r="L7" s="7" t="s">
        <v>44</v>
      </c>
      <c r="M7" s="7" t="s">
        <v>45</v>
      </c>
      <c r="N7" s="11" t="s">
        <v>46</v>
      </c>
      <c r="O7" s="12" t="s">
        <v>150</v>
      </c>
      <c r="P7" s="13">
        <v>0</v>
      </c>
      <c r="Q7" s="14" t="s">
        <v>60</v>
      </c>
      <c r="R7" s="15" t="s">
        <v>46</v>
      </c>
      <c r="S7" s="15"/>
      <c r="T7" s="15" t="s">
        <v>116</v>
      </c>
      <c r="U7" s="16" t="s">
        <v>51</v>
      </c>
      <c r="V7" s="16" t="s">
        <v>51</v>
      </c>
      <c r="W7" s="16" t="s">
        <v>51</v>
      </c>
      <c r="X7" s="16" t="s">
        <v>50</v>
      </c>
      <c r="Y7" s="16" t="s">
        <v>50</v>
      </c>
      <c r="Z7" s="5" t="s">
        <v>151</v>
      </c>
      <c r="AA7" s="5" t="s">
        <v>170</v>
      </c>
      <c r="AB7" s="5"/>
      <c r="AC7" s="17">
        <v>355621.01</v>
      </c>
      <c r="AD7" s="17">
        <v>286479.73</v>
      </c>
      <c r="AE7" s="17">
        <v>0</v>
      </c>
      <c r="AF7" s="17">
        <v>0</v>
      </c>
      <c r="AG7" s="17">
        <v>0</v>
      </c>
      <c r="AH7" s="18">
        <v>108.44</v>
      </c>
      <c r="AI7" s="11">
        <v>0</v>
      </c>
      <c r="AJ7" s="7" t="s">
        <v>69</v>
      </c>
      <c r="AK7" s="19">
        <v>-69141.280000000028</v>
      </c>
      <c r="AL7" s="11">
        <v>-0.19442405835358267</v>
      </c>
      <c r="AM7" s="19">
        <f t="shared" si="0"/>
        <v>2641.8270933234967</v>
      </c>
    </row>
    <row r="8" spans="1:39" x14ac:dyDescent="0.25">
      <c r="A8" s="4">
        <v>45170</v>
      </c>
      <c r="B8" s="33" t="s">
        <v>391</v>
      </c>
      <c r="C8" s="23" t="s">
        <v>38</v>
      </c>
      <c r="D8" s="6" t="s">
        <v>392</v>
      </c>
      <c r="E8" s="7" t="s">
        <v>78</v>
      </c>
      <c r="F8" s="8" t="s">
        <v>169</v>
      </c>
      <c r="G8" s="8" t="s">
        <v>107</v>
      </c>
      <c r="H8" s="8" t="s">
        <v>43</v>
      </c>
      <c r="I8" s="9">
        <v>45088</v>
      </c>
      <c r="J8" s="9">
        <v>45184</v>
      </c>
      <c r="K8" s="9">
        <v>45184</v>
      </c>
      <c r="L8" s="7" t="s">
        <v>44</v>
      </c>
      <c r="M8" s="7" t="s">
        <v>45</v>
      </c>
      <c r="N8" s="11" t="s">
        <v>46</v>
      </c>
      <c r="O8" s="12" t="s">
        <v>393</v>
      </c>
      <c r="P8" s="13">
        <v>0</v>
      </c>
      <c r="Q8" s="14" t="s">
        <v>60</v>
      </c>
      <c r="R8" s="15" t="s">
        <v>46</v>
      </c>
      <c r="S8" s="15"/>
      <c r="T8" s="15" t="s">
        <v>49</v>
      </c>
      <c r="U8" s="16" t="s">
        <v>51</v>
      </c>
      <c r="V8" s="16" t="s">
        <v>51</v>
      </c>
      <c r="W8" s="16" t="s">
        <v>51</v>
      </c>
      <c r="X8" s="16" t="s">
        <v>50</v>
      </c>
      <c r="Y8" s="16" t="s">
        <v>50</v>
      </c>
      <c r="Z8" s="5" t="s">
        <v>180</v>
      </c>
      <c r="AA8" s="5" t="s">
        <v>170</v>
      </c>
      <c r="AB8" s="5"/>
      <c r="AC8" s="17">
        <v>1250213.33</v>
      </c>
      <c r="AD8" s="17">
        <v>1281512.58</v>
      </c>
      <c r="AE8" s="17">
        <v>0</v>
      </c>
      <c r="AF8" s="17">
        <v>0</v>
      </c>
      <c r="AG8" s="17">
        <v>0</v>
      </c>
      <c r="AH8" s="18">
        <v>1250.1300000000001</v>
      </c>
      <c r="AI8" s="11">
        <v>0</v>
      </c>
      <c r="AJ8" s="7" t="s">
        <v>54</v>
      </c>
      <c r="AK8" s="19">
        <v>31299.25</v>
      </c>
      <c r="AL8" s="11">
        <v>2.5035127405016455E-2</v>
      </c>
      <c r="AM8" s="19">
        <f t="shared" si="0"/>
        <v>1025.103453240863</v>
      </c>
    </row>
    <row r="9" spans="1:39" x14ac:dyDescent="0.25">
      <c r="A9" s="4">
        <v>45231</v>
      </c>
      <c r="B9" s="33" t="s">
        <v>37</v>
      </c>
      <c r="C9" s="5" t="s">
        <v>38</v>
      </c>
      <c r="D9" s="6" t="s">
        <v>39</v>
      </c>
      <c r="E9" s="7" t="s">
        <v>40</v>
      </c>
      <c r="F9" s="8" t="s">
        <v>41</v>
      </c>
      <c r="G9" s="8" t="s">
        <v>42</v>
      </c>
      <c r="H9" s="8" t="s">
        <v>43</v>
      </c>
      <c r="I9" s="9">
        <v>44972</v>
      </c>
      <c r="J9" s="9">
        <v>45169</v>
      </c>
      <c r="K9" s="9">
        <v>45247</v>
      </c>
      <c r="L9" s="7" t="s">
        <v>44</v>
      </c>
      <c r="M9" s="7" t="s">
        <v>45</v>
      </c>
      <c r="N9" s="11" t="s">
        <v>46</v>
      </c>
      <c r="O9" s="12" t="s">
        <v>47</v>
      </c>
      <c r="P9" s="13">
        <v>78</v>
      </c>
      <c r="Q9" s="14" t="s">
        <v>48</v>
      </c>
      <c r="R9" s="15" t="s">
        <v>46</v>
      </c>
      <c r="S9" s="15"/>
      <c r="T9" s="15" t="s">
        <v>49</v>
      </c>
      <c r="U9" s="16" t="s">
        <v>50</v>
      </c>
      <c r="V9" s="16" t="s">
        <v>51</v>
      </c>
      <c r="W9" s="16" t="s">
        <v>51</v>
      </c>
      <c r="X9" s="16" t="s">
        <v>50</v>
      </c>
      <c r="Y9" s="16" t="s">
        <v>51</v>
      </c>
      <c r="Z9" s="5" t="s">
        <v>52</v>
      </c>
      <c r="AA9" s="5" t="s">
        <v>53</v>
      </c>
      <c r="AB9" s="5"/>
      <c r="AC9" s="17">
        <v>22321336.600000001</v>
      </c>
      <c r="AD9" s="17">
        <v>22693414.609999999</v>
      </c>
      <c r="AE9" s="17">
        <v>918525.84</v>
      </c>
      <c r="AF9" s="17">
        <v>0</v>
      </c>
      <c r="AG9" s="17">
        <v>0</v>
      </c>
      <c r="AH9" s="18">
        <v>13041.17</v>
      </c>
      <c r="AI9" s="11">
        <v>4.0475435529884765E-2</v>
      </c>
      <c r="AJ9" s="7" t="s">
        <v>54</v>
      </c>
      <c r="AK9" s="19">
        <v>372078.00999999791</v>
      </c>
      <c r="AL9" s="11">
        <v>1.6669163530287801E-2</v>
      </c>
      <c r="AM9" s="19">
        <f t="shared" si="0"/>
        <v>1810.5691782255733</v>
      </c>
    </row>
    <row r="10" spans="1:39" x14ac:dyDescent="0.25">
      <c r="A10" s="4">
        <v>45413</v>
      </c>
      <c r="B10" s="33" t="s">
        <v>394</v>
      </c>
      <c r="C10" s="5" t="s">
        <v>38</v>
      </c>
      <c r="D10" s="6" t="s">
        <v>395</v>
      </c>
      <c r="E10" s="7" t="s">
        <v>78</v>
      </c>
      <c r="F10" s="8" t="s">
        <v>387</v>
      </c>
      <c r="G10" s="8" t="s">
        <v>42</v>
      </c>
      <c r="H10" s="8" t="s">
        <v>43</v>
      </c>
      <c r="I10" s="9">
        <v>45313</v>
      </c>
      <c r="J10" s="9">
        <v>45434</v>
      </c>
      <c r="K10" s="9">
        <v>45434</v>
      </c>
      <c r="L10" s="7" t="s">
        <v>44</v>
      </c>
      <c r="M10" s="7" t="s">
        <v>45</v>
      </c>
      <c r="N10" s="11" t="s">
        <v>46</v>
      </c>
      <c r="O10" s="12" t="s">
        <v>396</v>
      </c>
      <c r="P10" s="13">
        <v>0</v>
      </c>
      <c r="Q10" s="14" t="s">
        <v>60</v>
      </c>
      <c r="R10" s="15" t="s">
        <v>46</v>
      </c>
      <c r="S10" s="15"/>
      <c r="T10" s="15" t="s">
        <v>49</v>
      </c>
      <c r="U10" s="16" t="s">
        <v>51</v>
      </c>
      <c r="V10" s="16" t="s">
        <v>51</v>
      </c>
      <c r="W10" s="16" t="s">
        <v>51</v>
      </c>
      <c r="X10" s="16" t="s">
        <v>51</v>
      </c>
      <c r="Y10" s="16" t="s">
        <v>50</v>
      </c>
      <c r="Z10" s="5" t="s">
        <v>61</v>
      </c>
      <c r="AA10" s="5" t="s">
        <v>397</v>
      </c>
      <c r="AB10" s="5"/>
      <c r="AC10" s="17">
        <v>851489.46</v>
      </c>
      <c r="AD10" s="17">
        <v>830030.68</v>
      </c>
      <c r="AE10" s="17">
        <v>0</v>
      </c>
      <c r="AF10" s="17">
        <v>0</v>
      </c>
      <c r="AG10" s="17">
        <v>0</v>
      </c>
      <c r="AH10" s="18">
        <v>406.47</v>
      </c>
      <c r="AI10" s="11">
        <v>0</v>
      </c>
      <c r="AJ10" s="7" t="s">
        <v>69</v>
      </c>
      <c r="AK10" s="19">
        <v>-21458.779999999912</v>
      </c>
      <c r="AL10" s="11">
        <v>-2.5201462857802004E-2</v>
      </c>
      <c r="AM10" s="19">
        <f t="shared" si="0"/>
        <v>2042.0465963047702</v>
      </c>
    </row>
    <row r="11" spans="1:39" x14ac:dyDescent="0.25">
      <c r="A11" s="4">
        <v>45444</v>
      </c>
      <c r="B11" s="33" t="s">
        <v>398</v>
      </c>
      <c r="C11" s="5" t="s">
        <v>38</v>
      </c>
      <c r="D11" s="6" t="s">
        <v>399</v>
      </c>
      <c r="E11" s="7" t="s">
        <v>78</v>
      </c>
      <c r="F11" s="7" t="s">
        <v>158</v>
      </c>
      <c r="G11" s="7" t="s">
        <v>42</v>
      </c>
      <c r="H11" s="7" t="s">
        <v>43</v>
      </c>
      <c r="I11" s="9">
        <v>45402</v>
      </c>
      <c r="J11" s="9">
        <v>45462</v>
      </c>
      <c r="K11" s="9">
        <v>45462</v>
      </c>
      <c r="L11" s="7" t="s">
        <v>44</v>
      </c>
      <c r="M11" s="7" t="s">
        <v>45</v>
      </c>
      <c r="N11" s="7" t="s">
        <v>46</v>
      </c>
      <c r="O11" s="12" t="s">
        <v>197</v>
      </c>
      <c r="P11" s="13">
        <v>0</v>
      </c>
      <c r="Q11" s="14" t="s">
        <v>60</v>
      </c>
      <c r="R11" s="15" t="s">
        <v>400</v>
      </c>
      <c r="S11" s="15"/>
      <c r="T11" s="15" t="s">
        <v>49</v>
      </c>
      <c r="U11" s="16" t="s">
        <v>51</v>
      </c>
      <c r="V11" s="16" t="s">
        <v>51</v>
      </c>
      <c r="W11" s="16" t="s">
        <v>51</v>
      </c>
      <c r="X11" s="16" t="s">
        <v>50</v>
      </c>
      <c r="Y11" s="16" t="s">
        <v>50</v>
      </c>
      <c r="Z11" s="5" t="s">
        <v>61</v>
      </c>
      <c r="AA11" s="20"/>
      <c r="AB11" s="20"/>
      <c r="AC11" s="17">
        <v>2737182.9949000003</v>
      </c>
      <c r="AD11" s="17">
        <v>2476129.88</v>
      </c>
      <c r="AE11" s="17">
        <v>7897.73</v>
      </c>
      <c r="AF11" s="17">
        <v>0</v>
      </c>
      <c r="AG11" s="17">
        <v>0</v>
      </c>
      <c r="AH11" s="18">
        <v>942.07</v>
      </c>
      <c r="AI11" s="11">
        <v>3.1895459377114742E-3</v>
      </c>
      <c r="AJ11" s="7" t="s">
        <v>69</v>
      </c>
      <c r="AK11" s="19">
        <v>-261053.11490000039</v>
      </c>
      <c r="AL11" s="11">
        <v>-9.5372912730497861E-2</v>
      </c>
      <c r="AM11" s="19">
        <f t="shared" si="0"/>
        <v>2636.7760463659811</v>
      </c>
    </row>
    <row r="12" spans="1:39" x14ac:dyDescent="0.25">
      <c r="A12" s="4">
        <v>45474</v>
      </c>
      <c r="B12" s="33" t="s">
        <v>401</v>
      </c>
      <c r="C12" s="5" t="s">
        <v>38</v>
      </c>
      <c r="D12" s="6" t="s">
        <v>402</v>
      </c>
      <c r="E12" s="7" t="s">
        <v>40</v>
      </c>
      <c r="F12" s="7" t="s">
        <v>139</v>
      </c>
      <c r="G12" s="7" t="s">
        <v>140</v>
      </c>
      <c r="H12" s="7" t="s">
        <v>114</v>
      </c>
      <c r="I12" s="9">
        <v>45399</v>
      </c>
      <c r="J12" s="9">
        <v>45504</v>
      </c>
      <c r="K12" s="9">
        <v>45496</v>
      </c>
      <c r="L12" s="7" t="s">
        <v>44</v>
      </c>
      <c r="M12" s="7" t="s">
        <v>173</v>
      </c>
      <c r="N12" s="7" t="s">
        <v>46</v>
      </c>
      <c r="O12" s="12" t="s">
        <v>377</v>
      </c>
      <c r="P12" s="13">
        <v>-8</v>
      </c>
      <c r="Q12" s="14" t="s">
        <v>60</v>
      </c>
      <c r="R12" s="15" t="s">
        <v>46</v>
      </c>
      <c r="S12" s="15"/>
      <c r="T12" s="15" t="s">
        <v>49</v>
      </c>
      <c r="U12" s="16" t="s">
        <v>51</v>
      </c>
      <c r="V12" s="16" t="s">
        <v>51</v>
      </c>
      <c r="W12" s="16" t="s">
        <v>51</v>
      </c>
      <c r="X12" s="16" t="s">
        <v>50</v>
      </c>
      <c r="Y12" s="16" t="s">
        <v>50</v>
      </c>
      <c r="Z12" s="5" t="s">
        <v>68</v>
      </c>
      <c r="AA12" s="20"/>
      <c r="AB12" s="20"/>
      <c r="AC12" s="17">
        <v>370501.87079999998</v>
      </c>
      <c r="AD12" s="17">
        <v>379011.46</v>
      </c>
      <c r="AE12" s="17">
        <v>0</v>
      </c>
      <c r="AF12" s="17">
        <v>0</v>
      </c>
      <c r="AG12" s="17"/>
      <c r="AH12" s="18">
        <v>298.19</v>
      </c>
      <c r="AI12" s="11">
        <v>0</v>
      </c>
      <c r="AJ12" s="7" t="s">
        <v>54</v>
      </c>
      <c r="AK12" s="19">
        <v>8509.5892000000458</v>
      </c>
      <c r="AL12" s="11">
        <v>2.2967736118648663E-2</v>
      </c>
      <c r="AM12" s="19">
        <f t="shared" si="0"/>
        <v>1271.0401421912204</v>
      </c>
    </row>
    <row r="13" spans="1:39" x14ac:dyDescent="0.25">
      <c r="A13" s="4">
        <v>45597</v>
      </c>
      <c r="B13" s="33" t="s">
        <v>403</v>
      </c>
      <c r="C13" s="5" t="s">
        <v>38</v>
      </c>
      <c r="D13" s="6" t="s">
        <v>404</v>
      </c>
      <c r="E13" s="7" t="s">
        <v>40</v>
      </c>
      <c r="F13" s="7" t="s">
        <v>405</v>
      </c>
      <c r="G13" s="7" t="s">
        <v>406</v>
      </c>
      <c r="H13" s="7" t="s">
        <v>43</v>
      </c>
      <c r="I13" s="9">
        <v>45478</v>
      </c>
      <c r="J13" s="9">
        <v>45601</v>
      </c>
      <c r="K13" s="9">
        <v>45601</v>
      </c>
      <c r="L13" s="7" t="s">
        <v>44</v>
      </c>
      <c r="M13" s="7" t="s">
        <v>45</v>
      </c>
      <c r="N13" s="11" t="s">
        <v>46</v>
      </c>
      <c r="O13" s="12" t="s">
        <v>210</v>
      </c>
      <c r="P13" s="13">
        <v>0</v>
      </c>
      <c r="Q13" s="14" t="s">
        <v>60</v>
      </c>
      <c r="R13" s="15" t="s">
        <v>46</v>
      </c>
      <c r="S13" s="15"/>
      <c r="T13" s="15" t="s">
        <v>49</v>
      </c>
      <c r="U13" s="16" t="s">
        <v>51</v>
      </c>
      <c r="V13" s="16" t="s">
        <v>51</v>
      </c>
      <c r="W13" s="16" t="s">
        <v>51</v>
      </c>
      <c r="X13" s="16" t="s">
        <v>50</v>
      </c>
      <c r="Y13" s="16" t="s">
        <v>50</v>
      </c>
      <c r="Z13" s="5" t="s">
        <v>61</v>
      </c>
      <c r="AA13" s="20"/>
      <c r="AB13" s="20"/>
      <c r="AC13" s="32">
        <v>3268849.4200000004</v>
      </c>
      <c r="AD13" s="17">
        <v>3777744.2100000004</v>
      </c>
      <c r="AE13" s="17">
        <v>153900</v>
      </c>
      <c r="AF13" s="17">
        <v>0</v>
      </c>
      <c r="AG13" s="17">
        <v>0</v>
      </c>
      <c r="AH13" s="18">
        <v>2304</v>
      </c>
      <c r="AI13" s="11">
        <v>4.073859728051836E-2</v>
      </c>
      <c r="AJ13" s="7" t="s">
        <v>54</v>
      </c>
      <c r="AK13" s="19">
        <v>508894.79000000004</v>
      </c>
      <c r="AL13" s="11">
        <v>0.15568009553649009</v>
      </c>
      <c r="AM13" s="19">
        <f t="shared" si="0"/>
        <v>1706.4427994791668</v>
      </c>
    </row>
    <row r="14" spans="1:39" x14ac:dyDescent="0.25">
      <c r="A14" s="4">
        <v>45658</v>
      </c>
      <c r="B14" s="33" t="s">
        <v>55</v>
      </c>
      <c r="C14" s="5" t="s">
        <v>38</v>
      </c>
      <c r="D14" s="6" t="s">
        <v>56</v>
      </c>
      <c r="E14" s="7" t="s">
        <v>40</v>
      </c>
      <c r="F14" s="8" t="s">
        <v>57</v>
      </c>
      <c r="G14" s="8" t="s">
        <v>42</v>
      </c>
      <c r="H14" s="8" t="s">
        <v>43</v>
      </c>
      <c r="I14" s="9">
        <v>45505</v>
      </c>
      <c r="J14" s="9">
        <v>45688</v>
      </c>
      <c r="K14" s="9">
        <v>45688</v>
      </c>
      <c r="L14" s="7" t="s">
        <v>44</v>
      </c>
      <c r="M14" s="7" t="s">
        <v>58</v>
      </c>
      <c r="N14" s="11" t="s">
        <v>46</v>
      </c>
      <c r="O14" s="12" t="s">
        <v>59</v>
      </c>
      <c r="P14" s="13">
        <v>0</v>
      </c>
      <c r="Q14" s="14" t="s">
        <v>60</v>
      </c>
      <c r="R14" s="15" t="s">
        <v>46</v>
      </c>
      <c r="S14" s="15"/>
      <c r="T14" s="15" t="s">
        <v>49</v>
      </c>
      <c r="U14" s="16" t="s">
        <v>51</v>
      </c>
      <c r="V14" s="16" t="s">
        <v>51</v>
      </c>
      <c r="W14" s="16" t="s">
        <v>51</v>
      </c>
      <c r="X14" s="16" t="s">
        <v>50</v>
      </c>
      <c r="Y14" s="16" t="s">
        <v>50</v>
      </c>
      <c r="Z14" s="5" t="s">
        <v>61</v>
      </c>
      <c r="AA14" s="20"/>
      <c r="AB14" s="20"/>
      <c r="AC14" s="17">
        <v>6514028.4885900002</v>
      </c>
      <c r="AD14" s="17">
        <v>6516909.6799999997</v>
      </c>
      <c r="AE14" s="17">
        <v>46035</v>
      </c>
      <c r="AF14" s="17">
        <v>0</v>
      </c>
      <c r="AG14" s="17">
        <v>0</v>
      </c>
      <c r="AH14" s="21">
        <v>6170</v>
      </c>
      <c r="AI14" s="11">
        <v>7.0639309520091438E-3</v>
      </c>
      <c r="AJ14" s="7" t="s">
        <v>54</v>
      </c>
      <c r="AK14" s="19">
        <v>2881.1914099995047</v>
      </c>
      <c r="AL14" s="11">
        <v>4.4230562010061369E-4</v>
      </c>
      <c r="AM14" s="19">
        <f t="shared" si="0"/>
        <v>1063.6863338735818</v>
      </c>
    </row>
    <row r="15" spans="1:39" x14ac:dyDescent="0.25">
      <c r="A15" s="4">
        <v>45748</v>
      </c>
      <c r="B15" s="33" t="s">
        <v>62</v>
      </c>
      <c r="C15" s="5" t="s">
        <v>38</v>
      </c>
      <c r="D15" s="6" t="s">
        <v>63</v>
      </c>
      <c r="E15" s="7" t="s">
        <v>40</v>
      </c>
      <c r="F15" s="8" t="s">
        <v>64</v>
      </c>
      <c r="G15" s="8" t="s">
        <v>65</v>
      </c>
      <c r="H15" s="8" t="s">
        <v>66</v>
      </c>
      <c r="I15" s="9">
        <v>45596</v>
      </c>
      <c r="J15" s="9">
        <v>45762</v>
      </c>
      <c r="K15" s="9">
        <v>45762</v>
      </c>
      <c r="L15" s="7" t="s">
        <v>44</v>
      </c>
      <c r="M15" s="8" t="s">
        <v>58</v>
      </c>
      <c r="N15" s="8" t="s">
        <v>46</v>
      </c>
      <c r="O15" s="12" t="s">
        <v>67</v>
      </c>
      <c r="P15" s="13">
        <v>0</v>
      </c>
      <c r="Q15" s="14" t="s">
        <v>60</v>
      </c>
      <c r="R15" s="15" t="s">
        <v>46</v>
      </c>
      <c r="S15" s="15"/>
      <c r="T15" s="15" t="s">
        <v>49</v>
      </c>
      <c r="U15" s="16" t="s">
        <v>51</v>
      </c>
      <c r="V15" s="16" t="s">
        <v>51</v>
      </c>
      <c r="W15" s="16" t="s">
        <v>51</v>
      </c>
      <c r="X15" s="16" t="s">
        <v>50</v>
      </c>
      <c r="Y15" s="16" t="s">
        <v>50</v>
      </c>
      <c r="Z15" s="5" t="s">
        <v>68</v>
      </c>
      <c r="AA15" s="5"/>
      <c r="AB15" s="5"/>
      <c r="AC15" s="17">
        <v>15295755.84659473</v>
      </c>
      <c r="AD15" s="17">
        <v>14478092.895898303</v>
      </c>
      <c r="AE15" s="17">
        <v>422222.47304845002</v>
      </c>
      <c r="AF15" s="17">
        <v>0</v>
      </c>
      <c r="AG15" s="17">
        <v>0</v>
      </c>
      <c r="AH15" s="18">
        <v>5062.2299999999996</v>
      </c>
      <c r="AI15" s="11">
        <v>2.9162851494623797E-2</v>
      </c>
      <c r="AJ15" s="7" t="s">
        <v>69</v>
      </c>
      <c r="AK15" s="19">
        <v>-817662.95069642738</v>
      </c>
      <c r="AL15" s="11">
        <v>-5.3456851619298251E-2</v>
      </c>
      <c r="AM15" s="19">
        <f t="shared" si="0"/>
        <v>2943.4291545320452</v>
      </c>
    </row>
    <row r="16" spans="1:39" x14ac:dyDescent="0.25">
      <c r="A16" s="4">
        <v>45992</v>
      </c>
      <c r="B16" s="33" t="s">
        <v>407</v>
      </c>
      <c r="C16" s="5" t="s">
        <v>38</v>
      </c>
      <c r="D16" s="6" t="s">
        <v>408</v>
      </c>
      <c r="E16" s="7" t="s">
        <v>40</v>
      </c>
      <c r="F16" s="8" t="s">
        <v>139</v>
      </c>
      <c r="G16" s="8" t="s">
        <v>140</v>
      </c>
      <c r="H16" s="8" t="s">
        <v>114</v>
      </c>
      <c r="I16" s="9">
        <v>45946</v>
      </c>
      <c r="J16" s="9">
        <v>46021</v>
      </c>
      <c r="K16" s="9">
        <v>46008</v>
      </c>
      <c r="L16" s="7" t="s">
        <v>44</v>
      </c>
      <c r="M16" s="7" t="s">
        <v>108</v>
      </c>
      <c r="N16" s="11" t="s">
        <v>46</v>
      </c>
      <c r="O16" s="12" t="s">
        <v>293</v>
      </c>
      <c r="P16" s="13">
        <v>-13</v>
      </c>
      <c r="Q16" s="14" t="s">
        <v>60</v>
      </c>
      <c r="R16" s="15" t="s">
        <v>46</v>
      </c>
      <c r="S16" s="15"/>
      <c r="T16" s="15" t="s">
        <v>49</v>
      </c>
      <c r="U16" s="16" t="s">
        <v>51</v>
      </c>
      <c r="V16" s="16" t="s">
        <v>51</v>
      </c>
      <c r="W16" s="16" t="s">
        <v>51</v>
      </c>
      <c r="X16" s="16" t="s">
        <v>50</v>
      </c>
      <c r="Y16" s="16" t="s">
        <v>50</v>
      </c>
      <c r="Z16" s="5" t="s">
        <v>52</v>
      </c>
      <c r="AA16" s="5"/>
      <c r="AB16" s="5"/>
      <c r="AC16" s="17">
        <v>426458.516</v>
      </c>
      <c r="AD16" s="17">
        <v>427810.08799999999</v>
      </c>
      <c r="AE16" s="17">
        <v>49246.8</v>
      </c>
      <c r="AF16" s="17">
        <v>0</v>
      </c>
      <c r="AG16" s="17">
        <v>0</v>
      </c>
      <c r="AH16" s="18">
        <v>447</v>
      </c>
      <c r="AI16" s="11">
        <v>0.11511369502815465</v>
      </c>
      <c r="AJ16" s="7" t="s">
        <v>54</v>
      </c>
      <c r="AK16" s="19">
        <v>1351.5719999999856</v>
      </c>
      <c r="AL16" s="11">
        <v>3.1692930245059703E-3</v>
      </c>
      <c r="AM16" s="19">
        <f t="shared" si="0"/>
        <v>1067.2413601789708</v>
      </c>
    </row>
    <row r="17" spans="1:39" x14ac:dyDescent="0.25">
      <c r="A17" s="4">
        <v>45992</v>
      </c>
      <c r="B17" s="33" t="s">
        <v>409</v>
      </c>
      <c r="C17" s="5" t="s">
        <v>38</v>
      </c>
      <c r="D17" s="6" t="s">
        <v>410</v>
      </c>
      <c r="E17" s="7" t="s">
        <v>40</v>
      </c>
      <c r="F17" s="8" t="s">
        <v>139</v>
      </c>
      <c r="G17" s="8" t="s">
        <v>140</v>
      </c>
      <c r="H17" s="8" t="s">
        <v>114</v>
      </c>
      <c r="I17" s="9">
        <v>45946</v>
      </c>
      <c r="J17" s="9">
        <v>46021</v>
      </c>
      <c r="K17" s="9">
        <v>46021</v>
      </c>
      <c r="L17" s="7" t="s">
        <v>44</v>
      </c>
      <c r="M17" s="7" t="s">
        <v>108</v>
      </c>
      <c r="N17" s="11" t="s">
        <v>46</v>
      </c>
      <c r="O17" s="12" t="s">
        <v>293</v>
      </c>
      <c r="P17" s="13">
        <v>0</v>
      </c>
      <c r="Q17" s="14" t="s">
        <v>60</v>
      </c>
      <c r="R17" s="15" t="s">
        <v>46</v>
      </c>
      <c r="S17" s="15"/>
      <c r="T17" s="15" t="s">
        <v>49</v>
      </c>
      <c r="U17" s="16" t="s">
        <v>51</v>
      </c>
      <c r="V17" s="16" t="s">
        <v>51</v>
      </c>
      <c r="W17" s="16" t="s">
        <v>51</v>
      </c>
      <c r="X17" s="16" t="s">
        <v>50</v>
      </c>
      <c r="Y17" s="16" t="s">
        <v>50</v>
      </c>
      <c r="Z17" s="5" t="s">
        <v>52</v>
      </c>
      <c r="AA17" s="5"/>
      <c r="AB17" s="5"/>
      <c r="AC17" s="17">
        <v>1344256.5554000002</v>
      </c>
      <c r="AD17" s="17">
        <v>1274394.679</v>
      </c>
      <c r="AE17" s="17">
        <v>0</v>
      </c>
      <c r="AF17" s="17">
        <v>0</v>
      </c>
      <c r="AG17" s="17">
        <v>0</v>
      </c>
      <c r="AH17" s="18">
        <v>709</v>
      </c>
      <c r="AI17" s="11">
        <v>0</v>
      </c>
      <c r="AJ17" s="7" t="s">
        <v>69</v>
      </c>
      <c r="AK17" s="19">
        <v>-69861.876400000183</v>
      </c>
      <c r="AL17" s="11">
        <v>-5.1970642151127122E-2</v>
      </c>
      <c r="AM17" s="19">
        <f t="shared" si="0"/>
        <v>1797.4537080394923</v>
      </c>
    </row>
    <row r="18" spans="1:39" x14ac:dyDescent="0.25">
      <c r="A18" s="4">
        <v>46082</v>
      </c>
      <c r="B18" s="33" t="s">
        <v>71</v>
      </c>
      <c r="C18" s="5" t="s">
        <v>38</v>
      </c>
      <c r="D18" s="6" t="s">
        <v>72</v>
      </c>
      <c r="E18" s="7" t="s">
        <v>40</v>
      </c>
      <c r="F18" s="8" t="s">
        <v>73</v>
      </c>
      <c r="G18" s="8" t="s">
        <v>42</v>
      </c>
      <c r="H18" s="8" t="s">
        <v>43</v>
      </c>
      <c r="I18" s="9">
        <v>45864</v>
      </c>
      <c r="J18" s="9">
        <v>46111</v>
      </c>
      <c r="K18" s="9">
        <v>46111</v>
      </c>
      <c r="L18" s="7" t="s">
        <v>44</v>
      </c>
      <c r="M18" s="7" t="s">
        <v>58</v>
      </c>
      <c r="N18" s="11" t="s">
        <v>46</v>
      </c>
      <c r="O18" s="12" t="s">
        <v>74</v>
      </c>
      <c r="P18" s="13">
        <v>0</v>
      </c>
      <c r="Q18" s="14" t="s">
        <v>60</v>
      </c>
      <c r="R18" s="15" t="s">
        <v>46</v>
      </c>
      <c r="S18" s="15"/>
      <c r="T18" s="15" t="s">
        <v>49</v>
      </c>
      <c r="U18" s="16" t="s">
        <v>51</v>
      </c>
      <c r="V18" s="16" t="s">
        <v>51</v>
      </c>
      <c r="W18" s="16" t="s">
        <v>51</v>
      </c>
      <c r="X18" s="16" t="s">
        <v>50</v>
      </c>
      <c r="Y18" s="16" t="s">
        <v>50</v>
      </c>
      <c r="Z18" s="5" t="s">
        <v>75</v>
      </c>
      <c r="AA18" s="5"/>
      <c r="AB18" s="5"/>
      <c r="AC18" s="17">
        <v>22611384.244635742</v>
      </c>
      <c r="AD18" s="17">
        <v>23158500.34</v>
      </c>
      <c r="AE18" s="17">
        <v>146373.81999999998</v>
      </c>
      <c r="AF18" s="17"/>
      <c r="AG18" s="17"/>
      <c r="AH18" s="18">
        <v>10432.681</v>
      </c>
      <c r="AI18" s="11">
        <v>6.3205223935497703E-3</v>
      </c>
      <c r="AJ18" s="7" t="s">
        <v>54</v>
      </c>
      <c r="AK18" s="19">
        <v>547116.09536425769</v>
      </c>
      <c r="AL18" s="11">
        <v>2.4196488346088563E-2</v>
      </c>
      <c r="AM18" s="19">
        <f t="shared" si="0"/>
        <v>2233.8336770768701</v>
      </c>
    </row>
    <row r="19" spans="1:39" x14ac:dyDescent="0.25">
      <c r="A19" s="4">
        <v>46113</v>
      </c>
      <c r="B19" s="33" t="s">
        <v>411</v>
      </c>
      <c r="C19" s="5" t="s">
        <v>38</v>
      </c>
      <c r="D19" s="6" t="s">
        <v>412</v>
      </c>
      <c r="E19" s="7" t="s">
        <v>40</v>
      </c>
      <c r="F19" s="8" t="s">
        <v>57</v>
      </c>
      <c r="G19" s="8" t="s">
        <v>42</v>
      </c>
      <c r="H19" s="8" t="s">
        <v>43</v>
      </c>
      <c r="I19" s="9">
        <v>46029</v>
      </c>
      <c r="J19" s="9">
        <v>46119</v>
      </c>
      <c r="K19" s="9">
        <v>46119</v>
      </c>
      <c r="L19" s="7" t="s">
        <v>44</v>
      </c>
      <c r="M19" s="8" t="s">
        <v>108</v>
      </c>
      <c r="N19" s="8" t="s">
        <v>46</v>
      </c>
      <c r="O19" s="12" t="s">
        <v>350</v>
      </c>
      <c r="P19" s="13">
        <v>0</v>
      </c>
      <c r="Q19" s="14" t="s">
        <v>60</v>
      </c>
      <c r="R19" s="15" t="s">
        <v>46</v>
      </c>
      <c r="S19" s="15"/>
      <c r="T19" s="15" t="s">
        <v>49</v>
      </c>
      <c r="U19" s="16" t="s">
        <v>51</v>
      </c>
      <c r="V19" s="16" t="s">
        <v>51</v>
      </c>
      <c r="W19" s="16" t="s">
        <v>51</v>
      </c>
      <c r="X19" s="16" t="s">
        <v>50</v>
      </c>
      <c r="Y19" s="16" t="s">
        <v>50</v>
      </c>
      <c r="Z19" s="5" t="s">
        <v>75</v>
      </c>
      <c r="AA19" s="5"/>
      <c r="AB19" s="5"/>
      <c r="AC19" s="17">
        <v>602262.54299999995</v>
      </c>
      <c r="AD19" s="17">
        <v>598553.83000000007</v>
      </c>
      <c r="AE19" s="17">
        <v>0</v>
      </c>
      <c r="AF19" s="17">
        <v>598553.83000000007</v>
      </c>
      <c r="AG19" s="17"/>
      <c r="AH19" s="18">
        <v>361.73</v>
      </c>
      <c r="AI19" s="11">
        <v>0</v>
      </c>
      <c r="AJ19" s="7" t="s">
        <v>69</v>
      </c>
      <c r="AK19" s="19">
        <v>-3708.7129999998724</v>
      </c>
      <c r="AL19" s="11">
        <v>-6.1579672239385763E-3</v>
      </c>
      <c r="AM19" s="19">
        <f t="shared" si="0"/>
        <v>1654.6977856412243</v>
      </c>
    </row>
    <row r="20" spans="1:39" x14ac:dyDescent="0.25">
      <c r="A20" s="4">
        <v>46113</v>
      </c>
      <c r="B20" s="33" t="s">
        <v>413</v>
      </c>
      <c r="C20" s="5" t="s">
        <v>38</v>
      </c>
      <c r="D20" s="6" t="s">
        <v>414</v>
      </c>
      <c r="E20" s="7" t="s">
        <v>40</v>
      </c>
      <c r="F20" s="8" t="s">
        <v>57</v>
      </c>
      <c r="G20" s="8" t="s">
        <v>42</v>
      </c>
      <c r="H20" s="8" t="s">
        <v>43</v>
      </c>
      <c r="I20" s="9">
        <v>46027</v>
      </c>
      <c r="J20" s="9">
        <v>46132</v>
      </c>
      <c r="K20" s="9">
        <v>46132</v>
      </c>
      <c r="L20" s="7" t="s">
        <v>44</v>
      </c>
      <c r="M20" s="8" t="s">
        <v>108</v>
      </c>
      <c r="N20" s="8" t="s">
        <v>46</v>
      </c>
      <c r="O20" s="12" t="s">
        <v>350</v>
      </c>
      <c r="P20" s="13">
        <v>0</v>
      </c>
      <c r="Q20" s="14" t="s">
        <v>60</v>
      </c>
      <c r="R20" s="15" t="s">
        <v>46</v>
      </c>
      <c r="S20" s="15"/>
      <c r="T20" s="15" t="s">
        <v>49</v>
      </c>
      <c r="U20" s="16" t="s">
        <v>51</v>
      </c>
      <c r="V20" s="16" t="s">
        <v>51</v>
      </c>
      <c r="W20" s="16" t="s">
        <v>51</v>
      </c>
      <c r="X20" s="16" t="s">
        <v>50</v>
      </c>
      <c r="Y20" s="16" t="s">
        <v>50</v>
      </c>
      <c r="Z20" s="5" t="s">
        <v>75</v>
      </c>
      <c r="AA20" s="5"/>
      <c r="AB20" s="5"/>
      <c r="AC20" s="17">
        <v>383232.41</v>
      </c>
      <c r="AD20" s="17">
        <v>426720.37999999995</v>
      </c>
      <c r="AE20" s="17">
        <v>0</v>
      </c>
      <c r="AF20" s="17">
        <v>426720.37999999995</v>
      </c>
      <c r="AG20" s="17"/>
      <c r="AH20" s="18">
        <v>231.2</v>
      </c>
      <c r="AI20" s="11">
        <v>0</v>
      </c>
      <c r="AJ20" s="7" t="s">
        <v>54</v>
      </c>
      <c r="AK20" s="19">
        <v>43487.969999999972</v>
      </c>
      <c r="AL20" s="11">
        <v>0.11347675422337056</v>
      </c>
      <c r="AM20" s="19">
        <f t="shared" si="0"/>
        <v>1845.6763840830449</v>
      </c>
    </row>
  </sheetData>
  <autoFilter ref="A3:AM20" xr:uid="{92A41B99-B406-48B7-8B27-17BE51B7320A}"/>
  <conditionalFormatting sqref="B19:B20 B3">
    <cfRule type="duplicateValues" dxfId="58" priority="16"/>
    <cfRule type="duplicateValues" dxfId="57" priority="17"/>
    <cfRule type="duplicateValues" dxfId="56" priority="20"/>
  </conditionalFormatting>
  <conditionalFormatting sqref="Q3:Q20">
    <cfRule type="cellIs" dxfId="55" priority="18" operator="equal">
      <formula>"Concluída com Atraso"</formula>
    </cfRule>
    <cfRule type="cellIs" dxfId="54" priority="19" operator="equal">
      <formula>"Não Concluída"</formula>
    </cfRule>
  </conditionalFormatting>
  <conditionalFormatting sqref="F12:K12 N12 M11:N11 C4:E20 U4:AB20">
    <cfRule type="cellIs" dxfId="53" priority="15" operator="equal">
      <formula>"NÃO"</formula>
    </cfRule>
  </conditionalFormatting>
  <conditionalFormatting sqref="Y4">
    <cfRule type="cellIs" dxfId="52" priority="14" operator="equal">
      <formula>"NÃO"</formula>
    </cfRule>
  </conditionalFormatting>
  <conditionalFormatting sqref="Z4:AB20 L4:L20">
    <cfRule type="cellIs" dxfId="51" priority="9" operator="equal">
      <formula>"Em atraso"</formula>
    </cfRule>
    <cfRule type="cellIs" dxfId="50" priority="10" operator="equal">
      <formula>"A iniciar"</formula>
    </cfRule>
    <cfRule type="cellIs" dxfId="49" priority="11" operator="equal">
      <formula>"Em andamento"</formula>
    </cfRule>
    <cfRule type="cellIs" dxfId="48" priority="12" operator="equal">
      <formula>"Concluída"</formula>
    </cfRule>
  </conditionalFormatting>
  <conditionalFormatting sqref="AI4:AI20 AL4:AL20">
    <cfRule type="cellIs" dxfId="47" priority="13" operator="greaterThanOrEqual">
      <formula>0.05</formula>
    </cfRule>
  </conditionalFormatting>
  <conditionalFormatting sqref="AJ4:AJ20">
    <cfRule type="cellIs" dxfId="46" priority="8" operator="equal">
      <formula>"Maior"</formula>
    </cfRule>
  </conditionalFormatting>
  <conditionalFormatting sqref="F11:K11">
    <cfRule type="cellIs" dxfId="45" priority="7" operator="equal">
      <formula>"NÃO"</formula>
    </cfRule>
  </conditionalFormatting>
  <conditionalFormatting sqref="F13:K13">
    <cfRule type="cellIs" dxfId="44" priority="6" operator="equal">
      <formula>"NÃO"</formula>
    </cfRule>
  </conditionalFormatting>
  <conditionalFormatting sqref="M16:N17">
    <cfRule type="cellIs" dxfId="43" priority="1" operator="equal">
      <formula>"Em atraso"</formula>
    </cfRule>
    <cfRule type="cellIs" dxfId="42" priority="2" operator="equal">
      <formula>"A iniciar"</formula>
    </cfRule>
    <cfRule type="cellIs" dxfId="41" priority="3" operator="equal">
      <formula>"Em andamento"</formula>
    </cfRule>
    <cfRule type="cellIs" dxfId="40" priority="4" operator="equal">
      <formula>"Concluída"</formula>
    </cfRule>
  </conditionalFormatting>
  <pageMargins left="0.511811024" right="0.511811024" top="0.78740157499999996" bottom="0.78740157499999996" header="0.31496062000000002" footer="0.31496062000000002"/>
  <headerFooter>
    <oddHeader>&amp;C&amp;"Aptos"&amp;10&amp;KFF0000 PÚBLICO&amp;1#_x000D_</oddHeader>
    <oddFooter>&amp;C_x000D_&amp;1#&amp;"Aptos"&amp;10&amp;KFF0000 PÚBLICO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02C2-CCC4-4F39-A3D8-BFA7D7CF97C4}">
  <dimension ref="A2:AM8"/>
  <sheetViews>
    <sheetView tabSelected="1" workbookViewId="0">
      <pane xSplit="2" ySplit="3" topLeftCell="U4" activePane="bottomRight" state="frozen"/>
      <selection pane="topRight" activeCell="C1" sqref="C1"/>
      <selection pane="bottomLeft" activeCell="A4" sqref="A4"/>
      <selection pane="bottomRight" activeCell="AM2" sqref="AM2"/>
    </sheetView>
  </sheetViews>
  <sheetFormatPr defaultRowHeight="15" x14ac:dyDescent="0.25"/>
  <cols>
    <col min="1" max="1" width="6.42578125" bestFit="1" customWidth="1"/>
    <col min="2" max="2" width="34.42578125" bestFit="1" customWidth="1"/>
    <col min="3" max="3" width="5" bestFit="1" customWidth="1"/>
    <col min="4" max="4" width="40" bestFit="1" customWidth="1"/>
    <col min="5" max="5" width="8.85546875" bestFit="1" customWidth="1"/>
    <col min="6" max="6" width="11.85546875" bestFit="1" customWidth="1"/>
    <col min="7" max="8" width="7.140625" bestFit="1" customWidth="1"/>
    <col min="9" max="11" width="10.140625" bestFit="1" customWidth="1"/>
    <col min="12" max="12" width="8.7109375" bestFit="1" customWidth="1"/>
    <col min="13" max="13" width="18.42578125" bestFit="1" customWidth="1"/>
    <col min="14" max="14" width="11.28515625" bestFit="1" customWidth="1"/>
    <col min="15" max="15" width="9" bestFit="1" customWidth="1"/>
    <col min="16" max="16" width="6" bestFit="1" customWidth="1"/>
    <col min="17" max="17" width="18.85546875" bestFit="1" customWidth="1"/>
    <col min="18" max="18" width="21.42578125" bestFit="1" customWidth="1"/>
    <col min="19" max="19" width="7.5703125" bestFit="1" customWidth="1"/>
    <col min="20" max="20" width="33.85546875" bestFit="1" customWidth="1"/>
    <col min="21" max="21" width="12.28515625" bestFit="1" customWidth="1"/>
    <col min="22" max="22" width="5" bestFit="1" customWidth="1"/>
    <col min="23" max="23" width="7.28515625" bestFit="1" customWidth="1"/>
    <col min="24" max="24" width="8.85546875" bestFit="1" customWidth="1"/>
    <col min="25" max="25" width="9.85546875" bestFit="1" customWidth="1"/>
    <col min="26" max="26" width="12.28515625" bestFit="1" customWidth="1"/>
    <col min="27" max="27" width="14.5703125" bestFit="1" customWidth="1"/>
    <col min="29" max="30" width="15.85546875" bestFit="1" customWidth="1"/>
    <col min="31" max="31" width="14.85546875" bestFit="1" customWidth="1"/>
    <col min="32" max="32" width="8.28515625" bestFit="1" customWidth="1"/>
    <col min="33" max="33" width="13.42578125" bestFit="1" customWidth="1"/>
    <col min="34" max="34" width="7.85546875" bestFit="1" customWidth="1"/>
    <col min="35" max="35" width="7.140625" bestFit="1" customWidth="1"/>
    <col min="37" max="37" width="14.85546875" bestFit="1" customWidth="1"/>
    <col min="38" max="38" width="5.42578125" bestFit="1" customWidth="1"/>
    <col min="39" max="39" width="12.28515625" bestFit="1" customWidth="1"/>
  </cols>
  <sheetData>
    <row r="2" spans="1:39" x14ac:dyDescent="0.25">
      <c r="AM2" s="31">
        <f>AVERAGE(AM4:AM8)</f>
        <v>3461.6579757280751</v>
      </c>
    </row>
    <row r="3" spans="1:39" ht="4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2" t="s">
        <v>6</v>
      </c>
      <c r="H3" s="2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/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</row>
    <row r="4" spans="1:39" x14ac:dyDescent="0.25">
      <c r="A4" s="4">
        <v>44986</v>
      </c>
      <c r="B4" s="22" t="s">
        <v>76</v>
      </c>
      <c r="C4" s="23" t="s">
        <v>38</v>
      </c>
      <c r="D4" s="6" t="s">
        <v>77</v>
      </c>
      <c r="E4" s="7" t="s">
        <v>78</v>
      </c>
      <c r="F4" s="8" t="s">
        <v>79</v>
      </c>
      <c r="G4" s="8" t="s">
        <v>80</v>
      </c>
      <c r="H4" s="8" t="s">
        <v>43</v>
      </c>
      <c r="I4" s="9">
        <v>44836</v>
      </c>
      <c r="J4" s="9">
        <v>45000</v>
      </c>
      <c r="K4" s="9">
        <v>45016</v>
      </c>
      <c r="L4" s="7" t="s">
        <v>44</v>
      </c>
      <c r="M4" s="7" t="s">
        <v>45</v>
      </c>
      <c r="N4" s="11" t="s">
        <v>81</v>
      </c>
      <c r="O4" s="12" t="s">
        <v>82</v>
      </c>
      <c r="P4" s="13">
        <v>16</v>
      </c>
      <c r="Q4" s="14" t="s">
        <v>48</v>
      </c>
      <c r="R4" s="15" t="s">
        <v>83</v>
      </c>
      <c r="S4" s="15"/>
      <c r="T4" s="15" t="s">
        <v>84</v>
      </c>
      <c r="U4" s="16" t="s">
        <v>51</v>
      </c>
      <c r="V4" s="16" t="s">
        <v>51</v>
      </c>
      <c r="W4" s="16" t="s">
        <v>51</v>
      </c>
      <c r="X4" s="16" t="s">
        <v>50</v>
      </c>
      <c r="Y4" s="16" t="s">
        <v>50</v>
      </c>
      <c r="Z4" s="5" t="s">
        <v>85</v>
      </c>
      <c r="AA4" s="5" t="s">
        <v>86</v>
      </c>
      <c r="AB4" s="5"/>
      <c r="AC4" s="17">
        <v>22543122.944000002</v>
      </c>
      <c r="AD4" s="17">
        <v>21911089.059999999</v>
      </c>
      <c r="AE4" s="17">
        <v>98385</v>
      </c>
      <c r="AF4" s="17">
        <v>0</v>
      </c>
      <c r="AG4" s="17">
        <v>599275.17000000004</v>
      </c>
      <c r="AH4" s="18">
        <v>5507.67</v>
      </c>
      <c r="AI4" s="11">
        <v>4.4901921456568621E-3</v>
      </c>
      <c r="AJ4" s="7" t="s">
        <v>69</v>
      </c>
      <c r="AK4" s="19">
        <v>-632033.88400000334</v>
      </c>
      <c r="AL4" s="11">
        <v>-2.8036660473797492E-2</v>
      </c>
      <c r="AM4" s="19">
        <f>(AD4+AE4)/AH4</f>
        <v>3996.1497439025939</v>
      </c>
    </row>
    <row r="5" spans="1:39" x14ac:dyDescent="0.25">
      <c r="A5" s="4">
        <v>45047</v>
      </c>
      <c r="B5" s="22" t="s">
        <v>87</v>
      </c>
      <c r="C5" s="23" t="s">
        <v>38</v>
      </c>
      <c r="D5" s="6" t="s">
        <v>88</v>
      </c>
      <c r="E5" s="7" t="s">
        <v>40</v>
      </c>
      <c r="F5" s="8" t="s">
        <v>89</v>
      </c>
      <c r="G5" s="8" t="s">
        <v>80</v>
      </c>
      <c r="H5" s="8" t="s">
        <v>43</v>
      </c>
      <c r="I5" s="9">
        <v>45017</v>
      </c>
      <c r="J5" s="9">
        <v>45077</v>
      </c>
      <c r="K5" s="9">
        <v>45061</v>
      </c>
      <c r="L5" s="7" t="s">
        <v>44</v>
      </c>
      <c r="M5" s="7" t="s">
        <v>45</v>
      </c>
      <c r="N5" s="11" t="s">
        <v>90</v>
      </c>
      <c r="O5" s="12" t="s">
        <v>91</v>
      </c>
      <c r="P5" s="13">
        <v>-16</v>
      </c>
      <c r="Q5" s="14" t="s">
        <v>60</v>
      </c>
      <c r="R5" s="15" t="s">
        <v>92</v>
      </c>
      <c r="S5" s="15"/>
      <c r="T5" s="15" t="s">
        <v>84</v>
      </c>
      <c r="U5" s="16" t="s">
        <v>51</v>
      </c>
      <c r="V5" s="16" t="s">
        <v>51</v>
      </c>
      <c r="W5" s="16" t="s">
        <v>51</v>
      </c>
      <c r="X5" s="16" t="s">
        <v>50</v>
      </c>
      <c r="Y5" s="16" t="s">
        <v>50</v>
      </c>
      <c r="Z5" s="5" t="s">
        <v>85</v>
      </c>
      <c r="AA5" s="5" t="s">
        <v>93</v>
      </c>
      <c r="AB5" s="5"/>
      <c r="AC5" s="17">
        <v>13456391.33</v>
      </c>
      <c r="AD5" s="17">
        <v>14664944.289999999</v>
      </c>
      <c r="AE5" s="17">
        <v>174946</v>
      </c>
      <c r="AF5" s="17">
        <v>0</v>
      </c>
      <c r="AG5" s="17">
        <v>0</v>
      </c>
      <c r="AH5" s="18">
        <v>3714.55</v>
      </c>
      <c r="AI5" s="11">
        <v>1.1929537306138653E-2</v>
      </c>
      <c r="AJ5" s="7" t="s">
        <v>54</v>
      </c>
      <c r="AK5" s="19">
        <v>1208552.959999999</v>
      </c>
      <c r="AL5" s="11">
        <v>8.9812560467502411E-2</v>
      </c>
      <c r="AM5" s="19">
        <f>(AD5+AE5)/AH5</f>
        <v>3995.0708134228908</v>
      </c>
    </row>
    <row r="6" spans="1:39" x14ac:dyDescent="0.25">
      <c r="A6" s="4">
        <v>45078</v>
      </c>
      <c r="B6" s="22" t="s">
        <v>94</v>
      </c>
      <c r="C6" s="23" t="s">
        <v>38</v>
      </c>
      <c r="D6" s="6" t="s">
        <v>95</v>
      </c>
      <c r="E6" s="7" t="s">
        <v>78</v>
      </c>
      <c r="F6" s="8" t="s">
        <v>96</v>
      </c>
      <c r="G6" s="8" t="s">
        <v>80</v>
      </c>
      <c r="H6" s="8" t="s">
        <v>43</v>
      </c>
      <c r="I6" s="9">
        <v>44931</v>
      </c>
      <c r="J6" s="9">
        <v>45061</v>
      </c>
      <c r="K6" s="10">
        <v>45078</v>
      </c>
      <c r="L6" s="7" t="s">
        <v>44</v>
      </c>
      <c r="M6" s="7" t="s">
        <v>45</v>
      </c>
      <c r="N6" s="11" t="s">
        <v>90</v>
      </c>
      <c r="O6" s="12" t="s">
        <v>97</v>
      </c>
      <c r="P6" s="13">
        <v>17</v>
      </c>
      <c r="Q6" s="14" t="s">
        <v>48</v>
      </c>
      <c r="R6" s="15" t="s">
        <v>92</v>
      </c>
      <c r="S6" s="15"/>
      <c r="T6" s="15" t="s">
        <v>84</v>
      </c>
      <c r="U6" s="16" t="s">
        <v>50</v>
      </c>
      <c r="V6" s="16" t="s">
        <v>51</v>
      </c>
      <c r="W6" s="16" t="s">
        <v>51</v>
      </c>
      <c r="X6" s="16" t="s">
        <v>50</v>
      </c>
      <c r="Y6" s="16" t="s">
        <v>51</v>
      </c>
      <c r="Z6" s="5" t="s">
        <v>85</v>
      </c>
      <c r="AA6" s="5" t="s">
        <v>86</v>
      </c>
      <c r="AB6" s="5"/>
      <c r="AC6" s="17">
        <v>11661949.869999999</v>
      </c>
      <c r="AD6" s="17">
        <v>10976201.859999999</v>
      </c>
      <c r="AE6" s="17">
        <v>1065042.8799999999</v>
      </c>
      <c r="AF6" s="17">
        <v>0</v>
      </c>
      <c r="AG6" s="17">
        <v>493168.25</v>
      </c>
      <c r="AH6" s="18">
        <v>3046.44</v>
      </c>
      <c r="AI6" s="11">
        <v>9.7032005568454441E-2</v>
      </c>
      <c r="AJ6" s="7" t="s">
        <v>69</v>
      </c>
      <c r="AK6" s="19">
        <v>-685748.00999999978</v>
      </c>
      <c r="AL6" s="11">
        <v>-5.8802174391442419E-2</v>
      </c>
      <c r="AM6" s="19">
        <f>(AD6+AE6)/AH6</f>
        <v>3952.5625779598477</v>
      </c>
    </row>
    <row r="7" spans="1:39" x14ac:dyDescent="0.25">
      <c r="A7" s="4">
        <v>45658</v>
      </c>
      <c r="B7" s="22" t="s">
        <v>98</v>
      </c>
      <c r="C7" s="5" t="s">
        <v>38</v>
      </c>
      <c r="D7" s="6" t="s">
        <v>99</v>
      </c>
      <c r="E7" s="7" t="s">
        <v>40</v>
      </c>
      <c r="F7" s="8" t="s">
        <v>100</v>
      </c>
      <c r="G7" s="8" t="s">
        <v>101</v>
      </c>
      <c r="H7" s="8" t="s">
        <v>102</v>
      </c>
      <c r="I7" s="9">
        <v>45557</v>
      </c>
      <c r="J7" s="9">
        <v>45663</v>
      </c>
      <c r="K7" s="9">
        <v>45663</v>
      </c>
      <c r="L7" s="7" t="s">
        <v>44</v>
      </c>
      <c r="M7" s="7" t="s">
        <v>103</v>
      </c>
      <c r="N7" s="11" t="s">
        <v>46</v>
      </c>
      <c r="O7" s="12" t="s">
        <v>59</v>
      </c>
      <c r="P7" s="13">
        <v>0</v>
      </c>
      <c r="Q7" s="14" t="s">
        <v>60</v>
      </c>
      <c r="R7" s="15" t="s">
        <v>46</v>
      </c>
      <c r="S7" s="15"/>
      <c r="T7" s="15" t="s">
        <v>84</v>
      </c>
      <c r="U7" s="16" t="s">
        <v>51</v>
      </c>
      <c r="V7" s="16" t="s">
        <v>51</v>
      </c>
      <c r="W7" s="16" t="s">
        <v>51</v>
      </c>
      <c r="X7" s="16" t="s">
        <v>50</v>
      </c>
      <c r="Y7" s="16" t="s">
        <v>50</v>
      </c>
      <c r="Z7" s="5" t="s">
        <v>68</v>
      </c>
      <c r="AA7" s="20"/>
      <c r="AB7" s="24"/>
      <c r="AC7" s="17">
        <v>2941123.2154000001</v>
      </c>
      <c r="AD7" s="17">
        <v>2753868.83</v>
      </c>
      <c r="AE7" s="17">
        <v>3325.9</v>
      </c>
      <c r="AF7" s="17">
        <v>0</v>
      </c>
      <c r="AG7" s="17">
        <v>0</v>
      </c>
      <c r="AH7" s="18">
        <v>1197.5610000000001</v>
      </c>
      <c r="AI7" s="11">
        <v>1.2077191054884048E-3</v>
      </c>
      <c r="AJ7" s="7" t="s">
        <v>69</v>
      </c>
      <c r="AK7" s="19">
        <v>-187254.38540000003</v>
      </c>
      <c r="AL7" s="11">
        <v>-6.3667643851001654E-2</v>
      </c>
      <c r="AM7" s="19">
        <f>(AD7+AE7)/AH7</f>
        <v>2302.3417846773564</v>
      </c>
    </row>
    <row r="8" spans="1:39" x14ac:dyDescent="0.25">
      <c r="A8" s="4">
        <v>46054</v>
      </c>
      <c r="B8" s="22" t="s">
        <v>104</v>
      </c>
      <c r="C8" s="5" t="s">
        <v>38</v>
      </c>
      <c r="D8" s="6" t="s">
        <v>105</v>
      </c>
      <c r="E8" s="7" t="s">
        <v>40</v>
      </c>
      <c r="F8" s="8" t="s">
        <v>106</v>
      </c>
      <c r="G8" s="8" t="s">
        <v>107</v>
      </c>
      <c r="H8" s="8" t="s">
        <v>43</v>
      </c>
      <c r="I8" s="9">
        <v>45887</v>
      </c>
      <c r="J8" s="9">
        <v>46081</v>
      </c>
      <c r="K8" s="10">
        <v>46081</v>
      </c>
      <c r="L8" s="7" t="s">
        <v>44</v>
      </c>
      <c r="M8" s="7" t="s">
        <v>108</v>
      </c>
      <c r="N8" s="11" t="s">
        <v>83</v>
      </c>
      <c r="O8" s="12" t="s">
        <v>109</v>
      </c>
      <c r="P8" s="13">
        <v>0</v>
      </c>
      <c r="Q8" s="14" t="s">
        <v>60</v>
      </c>
      <c r="R8" s="15" t="s">
        <v>83</v>
      </c>
      <c r="S8" s="15"/>
      <c r="T8" s="15" t="s">
        <v>84</v>
      </c>
      <c r="U8" s="16" t="s">
        <v>51</v>
      </c>
      <c r="V8" s="16" t="s">
        <v>51</v>
      </c>
      <c r="W8" s="16" t="s">
        <v>51</v>
      </c>
      <c r="X8" s="16" t="s">
        <v>50</v>
      </c>
      <c r="Y8" s="16" t="s">
        <v>50</v>
      </c>
      <c r="Z8" s="5" t="s">
        <v>68</v>
      </c>
      <c r="AA8" s="5"/>
      <c r="AB8" s="5"/>
      <c r="AC8" s="17">
        <v>7795531.8540499993</v>
      </c>
      <c r="AD8" s="17">
        <v>7585187.8099999996</v>
      </c>
      <c r="AE8" s="17">
        <v>10512.369999999999</v>
      </c>
      <c r="AF8" s="17"/>
      <c r="AG8" s="17"/>
      <c r="AH8" s="18">
        <v>2480.5</v>
      </c>
      <c r="AI8" s="11">
        <v>1.385907674710562E-3</v>
      </c>
      <c r="AJ8" s="7" t="s">
        <v>69</v>
      </c>
      <c r="AK8" s="19">
        <v>-210344.04404999968</v>
      </c>
      <c r="AL8" s="11">
        <v>-2.6982641850244016E-2</v>
      </c>
      <c r="AM8" s="19">
        <f>(AD8+AE8)/AH8</f>
        <v>3062.1649586776857</v>
      </c>
    </row>
  </sheetData>
  <autoFilter ref="A3:AM8" xr:uid="{9D0502C2-CCC4-4F39-A3D8-BFA7D7CF97C4}"/>
  <conditionalFormatting sqref="B3">
    <cfRule type="duplicateValues" dxfId="39" priority="11"/>
    <cfRule type="duplicateValues" dxfId="38" priority="12"/>
    <cfRule type="duplicateValues" dxfId="37" priority="15"/>
  </conditionalFormatting>
  <conditionalFormatting sqref="Q3:Q8">
    <cfRule type="cellIs" dxfId="36" priority="13" operator="equal">
      <formula>"Concluída com Atraso"</formula>
    </cfRule>
    <cfRule type="cellIs" dxfId="35" priority="14" operator="equal">
      <formula>"Não Concluída"</formula>
    </cfRule>
  </conditionalFormatting>
  <conditionalFormatting sqref="C4:E8 U4:AB8">
    <cfRule type="cellIs" dxfId="34" priority="10" operator="equal">
      <formula>"NÃO"</formula>
    </cfRule>
  </conditionalFormatting>
  <conditionalFormatting sqref="U4:V4">
    <cfRule type="cellIs" dxfId="33" priority="7" operator="equal">
      <formula>"NÃO"</formula>
    </cfRule>
  </conditionalFormatting>
  <conditionalFormatting sqref="X4">
    <cfRule type="cellIs" dxfId="32" priority="8" operator="equal">
      <formula>"NÃO"</formula>
    </cfRule>
  </conditionalFormatting>
  <conditionalFormatting sqref="Y4">
    <cfRule type="cellIs" dxfId="31" priority="9" operator="equal">
      <formula>"NÃO"</formula>
    </cfRule>
  </conditionalFormatting>
  <conditionalFormatting sqref="Z4:AB8 L4:L8">
    <cfRule type="cellIs" dxfId="30" priority="2" operator="equal">
      <formula>"Em atraso"</formula>
    </cfRule>
    <cfRule type="cellIs" dxfId="29" priority="3" operator="equal">
      <formula>"A iniciar"</formula>
    </cfRule>
    <cfRule type="cellIs" dxfId="28" priority="4" operator="equal">
      <formula>"Em andamento"</formula>
    </cfRule>
    <cfRule type="cellIs" dxfId="27" priority="5" operator="equal">
      <formula>"Concluída"</formula>
    </cfRule>
  </conditionalFormatting>
  <conditionalFormatting sqref="AI4:AI8 AL4:AL8">
    <cfRule type="cellIs" dxfId="26" priority="6" operator="greaterThanOrEqual">
      <formula>0.05</formula>
    </cfRule>
  </conditionalFormatting>
  <conditionalFormatting sqref="AJ4:AJ8">
    <cfRule type="cellIs" dxfId="25" priority="1" operator="equal">
      <formula>"Maior"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E034-09CF-4A69-91A6-F1FACA1239A3}">
  <dimension ref="A2:AM89"/>
  <sheetViews>
    <sheetView workbookViewId="0">
      <pane xSplit="2" ySplit="3" topLeftCell="X67" activePane="bottomRight" state="frozen"/>
      <selection pane="topRight" activeCell="C1" sqref="C1"/>
      <selection pane="bottomLeft" activeCell="A4" sqref="A4"/>
      <selection pane="bottomRight" activeCell="AM2" sqref="AM2"/>
    </sheetView>
  </sheetViews>
  <sheetFormatPr defaultRowHeight="15" x14ac:dyDescent="0.25"/>
  <cols>
    <col min="2" max="2" width="51" bestFit="1" customWidth="1"/>
    <col min="4" max="4" width="55.7109375" bestFit="1" customWidth="1"/>
    <col min="6" max="6" width="19.28515625" bestFit="1" customWidth="1"/>
    <col min="9" max="11" width="10.140625" bestFit="1" customWidth="1"/>
    <col min="13" max="13" width="18.42578125" bestFit="1" customWidth="1"/>
    <col min="14" max="14" width="13" bestFit="1" customWidth="1"/>
    <col min="17" max="17" width="18.85546875" bestFit="1" customWidth="1"/>
    <col min="18" max="18" width="11.28515625" bestFit="1" customWidth="1"/>
    <col min="19" max="19" width="7.5703125" bestFit="1" customWidth="1"/>
    <col min="20" max="20" width="36" bestFit="1" customWidth="1"/>
    <col min="21" max="21" width="13.28515625" bestFit="1" customWidth="1"/>
    <col min="22" max="22" width="16.5703125" bestFit="1" customWidth="1"/>
    <col min="23" max="24" width="15.85546875" bestFit="1" customWidth="1"/>
    <col min="25" max="25" width="13.42578125" bestFit="1" customWidth="1"/>
    <col min="26" max="26" width="14.85546875" bestFit="1" customWidth="1"/>
    <col min="27" max="27" width="16.5703125" bestFit="1" customWidth="1"/>
    <col min="29" max="30" width="15.85546875" bestFit="1" customWidth="1"/>
    <col min="31" max="31" width="13.42578125" bestFit="1" customWidth="1"/>
    <col min="32" max="32" width="14.85546875" bestFit="1" customWidth="1"/>
    <col min="33" max="33" width="12.140625" bestFit="1" customWidth="1"/>
    <col min="37" max="37" width="13.42578125" bestFit="1" customWidth="1"/>
    <col min="39" max="39" width="13.5703125" bestFit="1" customWidth="1"/>
  </cols>
  <sheetData>
    <row r="2" spans="1:39" x14ac:dyDescent="0.25">
      <c r="AM2" s="31">
        <f>AVERAGE(AM4:AM89)</f>
        <v>2034.5587620605249</v>
      </c>
    </row>
    <row r="3" spans="1:39" ht="4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2" t="s">
        <v>6</v>
      </c>
      <c r="H3" s="2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/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</row>
    <row r="4" spans="1:39" x14ac:dyDescent="0.25">
      <c r="A4" s="4">
        <v>44958</v>
      </c>
      <c r="B4" s="25" t="s">
        <v>118</v>
      </c>
      <c r="C4" s="23" t="s">
        <v>38</v>
      </c>
      <c r="D4" s="6" t="s">
        <v>119</v>
      </c>
      <c r="E4" s="8" t="s">
        <v>40</v>
      </c>
      <c r="F4" s="8" t="s">
        <v>120</v>
      </c>
      <c r="G4" s="8" t="s">
        <v>121</v>
      </c>
      <c r="H4" s="8" t="s">
        <v>122</v>
      </c>
      <c r="I4" s="26">
        <v>44924</v>
      </c>
      <c r="J4" s="26">
        <v>44972</v>
      </c>
      <c r="K4" s="26">
        <v>44957</v>
      </c>
      <c r="L4" s="7" t="s">
        <v>44</v>
      </c>
      <c r="M4" s="7" t="s">
        <v>45</v>
      </c>
      <c r="N4" s="11" t="s">
        <v>46</v>
      </c>
      <c r="O4" s="12" t="s">
        <v>123</v>
      </c>
      <c r="P4" s="13">
        <v>-15</v>
      </c>
      <c r="Q4" s="14" t="s">
        <v>60</v>
      </c>
      <c r="R4" s="15" t="s">
        <v>46</v>
      </c>
      <c r="S4" s="15"/>
      <c r="T4" s="15" t="s">
        <v>116</v>
      </c>
      <c r="U4" s="16" t="s">
        <v>51</v>
      </c>
      <c r="V4" s="16" t="s">
        <v>51</v>
      </c>
      <c r="W4" s="16" t="s">
        <v>51</v>
      </c>
      <c r="X4" s="16" t="s">
        <v>50</v>
      </c>
      <c r="Y4" s="16" t="s">
        <v>50</v>
      </c>
      <c r="Z4" s="5" t="s">
        <v>124</v>
      </c>
      <c r="AA4" s="5" t="s">
        <v>125</v>
      </c>
      <c r="AB4" s="5"/>
      <c r="AC4" s="17">
        <v>239777.87</v>
      </c>
      <c r="AD4" s="17">
        <v>283473.89</v>
      </c>
      <c r="AE4" s="17">
        <v>0</v>
      </c>
      <c r="AF4" s="17">
        <v>0</v>
      </c>
      <c r="AG4" s="17">
        <v>0</v>
      </c>
      <c r="AH4" s="18">
        <v>132.9</v>
      </c>
      <c r="AI4" s="11">
        <v>0</v>
      </c>
      <c r="AJ4" s="7" t="s">
        <v>54</v>
      </c>
      <c r="AK4" s="19">
        <v>43696.020000000019</v>
      </c>
      <c r="AL4" s="11">
        <v>0.18223541647108643</v>
      </c>
      <c r="AM4" s="19">
        <f>(AD4+AE4)/AH4</f>
        <v>2132.9863807373968</v>
      </c>
    </row>
    <row r="5" spans="1:39" x14ac:dyDescent="0.25">
      <c r="A5" s="4">
        <v>44958</v>
      </c>
      <c r="B5" s="25" t="s">
        <v>110</v>
      </c>
      <c r="C5" s="23" t="s">
        <v>38</v>
      </c>
      <c r="D5" s="6" t="s">
        <v>111</v>
      </c>
      <c r="E5" s="8" t="s">
        <v>40</v>
      </c>
      <c r="F5" s="8" t="s">
        <v>112</v>
      </c>
      <c r="G5" s="8" t="s">
        <v>113</v>
      </c>
      <c r="H5" s="8" t="s">
        <v>114</v>
      </c>
      <c r="I5" s="26">
        <v>44924</v>
      </c>
      <c r="J5" s="26">
        <v>44972</v>
      </c>
      <c r="K5" s="26">
        <v>44972</v>
      </c>
      <c r="L5" s="7" t="s">
        <v>44</v>
      </c>
      <c r="M5" s="7" t="s">
        <v>45</v>
      </c>
      <c r="N5" s="11" t="s">
        <v>46</v>
      </c>
      <c r="O5" s="12" t="s">
        <v>115</v>
      </c>
      <c r="P5" s="13">
        <v>0</v>
      </c>
      <c r="Q5" s="14" t="s">
        <v>60</v>
      </c>
      <c r="R5" s="15" t="s">
        <v>46</v>
      </c>
      <c r="S5" s="15"/>
      <c r="T5" s="15" t="s">
        <v>116</v>
      </c>
      <c r="U5" s="16" t="s">
        <v>51</v>
      </c>
      <c r="V5" s="16" t="s">
        <v>51</v>
      </c>
      <c r="W5" s="16" t="s">
        <v>51</v>
      </c>
      <c r="X5" s="16" t="s">
        <v>50</v>
      </c>
      <c r="Y5" s="16" t="s">
        <v>50</v>
      </c>
      <c r="Z5" s="5" t="s">
        <v>85</v>
      </c>
      <c r="AA5" s="5" t="s">
        <v>117</v>
      </c>
      <c r="AB5" s="5"/>
      <c r="AC5" s="17">
        <v>332812.37420000002</v>
      </c>
      <c r="AD5" s="17">
        <v>363869.86000000004</v>
      </c>
      <c r="AE5" s="17">
        <v>0</v>
      </c>
      <c r="AF5" s="17">
        <v>0</v>
      </c>
      <c r="AG5" s="17">
        <v>0</v>
      </c>
      <c r="AH5" s="18">
        <v>289.02</v>
      </c>
      <c r="AI5" s="11">
        <v>0</v>
      </c>
      <c r="AJ5" s="7" t="s">
        <v>54</v>
      </c>
      <c r="AK5" s="19">
        <v>31057.485800000024</v>
      </c>
      <c r="AL5" s="11">
        <v>9.3318302465930536E-2</v>
      </c>
      <c r="AM5" s="19">
        <f t="shared" ref="AM5:AM68" si="0">(AD5+AE5)/AH5</f>
        <v>1258.9781330011767</v>
      </c>
    </row>
    <row r="6" spans="1:39" x14ac:dyDescent="0.25">
      <c r="A6" s="4">
        <v>44986</v>
      </c>
      <c r="B6" s="25" t="s">
        <v>126</v>
      </c>
      <c r="C6" s="23" t="s">
        <v>38</v>
      </c>
      <c r="D6" s="6" t="s">
        <v>127</v>
      </c>
      <c r="E6" s="7" t="s">
        <v>40</v>
      </c>
      <c r="F6" s="8" t="s">
        <v>128</v>
      </c>
      <c r="G6" s="8" t="s">
        <v>129</v>
      </c>
      <c r="H6" s="8" t="s">
        <v>114</v>
      </c>
      <c r="I6" s="9">
        <v>44878</v>
      </c>
      <c r="J6" s="9">
        <v>44998</v>
      </c>
      <c r="K6" s="9">
        <v>44998</v>
      </c>
      <c r="L6" s="7" t="s">
        <v>44</v>
      </c>
      <c r="M6" s="7" t="s">
        <v>130</v>
      </c>
      <c r="N6" s="11" t="s">
        <v>90</v>
      </c>
      <c r="O6" s="12" t="s">
        <v>82</v>
      </c>
      <c r="P6" s="13">
        <v>0</v>
      </c>
      <c r="Q6" s="14" t="s">
        <v>60</v>
      </c>
      <c r="R6" s="15" t="s">
        <v>83</v>
      </c>
      <c r="S6" s="15"/>
      <c r="T6" s="15" t="s">
        <v>116</v>
      </c>
      <c r="U6" s="16" t="s">
        <v>51</v>
      </c>
      <c r="V6" s="16" t="s">
        <v>51</v>
      </c>
      <c r="W6" s="16" t="s">
        <v>51</v>
      </c>
      <c r="X6" s="16" t="s">
        <v>50</v>
      </c>
      <c r="Y6" s="16" t="s">
        <v>50</v>
      </c>
      <c r="Z6" s="5" t="s">
        <v>85</v>
      </c>
      <c r="AA6" s="5" t="s">
        <v>131</v>
      </c>
      <c r="AB6" s="5"/>
      <c r="AC6" s="17">
        <v>3583466.7222293904</v>
      </c>
      <c r="AD6" s="17">
        <v>3121162.6600000006</v>
      </c>
      <c r="AE6" s="17">
        <v>71364.160000000003</v>
      </c>
      <c r="AF6" s="17">
        <v>0</v>
      </c>
      <c r="AG6" s="17">
        <v>0</v>
      </c>
      <c r="AH6" s="18">
        <v>1637.52</v>
      </c>
      <c r="AI6" s="11">
        <v>2.286460776767078E-2</v>
      </c>
      <c r="AJ6" s="7" t="s">
        <v>69</v>
      </c>
      <c r="AK6" s="19">
        <v>-462304.06222938979</v>
      </c>
      <c r="AL6" s="11">
        <v>-0.12901028475067722</v>
      </c>
      <c r="AM6" s="19">
        <f t="shared" si="0"/>
        <v>1949.6108871952713</v>
      </c>
    </row>
    <row r="7" spans="1:39" x14ac:dyDescent="0.25">
      <c r="A7" s="4">
        <v>44986</v>
      </c>
      <c r="B7" s="25" t="s">
        <v>132</v>
      </c>
      <c r="C7" s="23" t="s">
        <v>38</v>
      </c>
      <c r="D7" s="6" t="s">
        <v>133</v>
      </c>
      <c r="E7" s="7" t="s">
        <v>40</v>
      </c>
      <c r="F7" s="8" t="s">
        <v>134</v>
      </c>
      <c r="G7" s="8" t="s">
        <v>135</v>
      </c>
      <c r="H7" s="8" t="s">
        <v>114</v>
      </c>
      <c r="I7" s="9">
        <v>44911</v>
      </c>
      <c r="J7" s="9">
        <v>45001</v>
      </c>
      <c r="K7" s="9">
        <v>44958</v>
      </c>
      <c r="L7" s="7" t="s">
        <v>44</v>
      </c>
      <c r="M7" s="7" t="s">
        <v>45</v>
      </c>
      <c r="N7" s="11" t="s">
        <v>46</v>
      </c>
      <c r="O7" s="12" t="s">
        <v>115</v>
      </c>
      <c r="P7" s="13">
        <v>-43</v>
      </c>
      <c r="Q7" s="14" t="s">
        <v>60</v>
      </c>
      <c r="R7" s="15" t="s">
        <v>46</v>
      </c>
      <c r="S7" s="15"/>
      <c r="T7" s="15" t="s">
        <v>116</v>
      </c>
      <c r="U7" s="16" t="s">
        <v>51</v>
      </c>
      <c r="V7" s="16" t="s">
        <v>51</v>
      </c>
      <c r="W7" s="16" t="s">
        <v>51</v>
      </c>
      <c r="X7" s="16" t="s">
        <v>51</v>
      </c>
      <c r="Y7" s="16" t="s">
        <v>50</v>
      </c>
      <c r="Z7" s="5" t="s">
        <v>85</v>
      </c>
      <c r="AA7" s="5" t="s">
        <v>136</v>
      </c>
      <c r="AB7" s="5"/>
      <c r="AC7" s="17">
        <v>180483.10220000002</v>
      </c>
      <c r="AD7" s="17">
        <v>179425.75</v>
      </c>
      <c r="AE7" s="17">
        <v>0</v>
      </c>
      <c r="AF7" s="17">
        <v>0</v>
      </c>
      <c r="AG7" s="17">
        <v>0</v>
      </c>
      <c r="AH7" s="18">
        <v>163.11000000000001</v>
      </c>
      <c r="AI7" s="11">
        <v>0</v>
      </c>
      <c r="AJ7" s="7" t="s">
        <v>69</v>
      </c>
      <c r="AK7" s="19">
        <v>-1057.352200000023</v>
      </c>
      <c r="AL7" s="11">
        <v>-5.8584553740013146E-3</v>
      </c>
      <c r="AM7" s="19">
        <f t="shared" si="0"/>
        <v>1100.0291214517808</v>
      </c>
    </row>
    <row r="8" spans="1:39" x14ac:dyDescent="0.25">
      <c r="A8" s="4">
        <v>45047</v>
      </c>
      <c r="B8" s="25" t="s">
        <v>137</v>
      </c>
      <c r="C8" s="23" t="s">
        <v>38</v>
      </c>
      <c r="D8" s="6" t="s">
        <v>138</v>
      </c>
      <c r="E8" s="7" t="s">
        <v>40</v>
      </c>
      <c r="F8" s="8" t="s">
        <v>139</v>
      </c>
      <c r="G8" s="8" t="s">
        <v>140</v>
      </c>
      <c r="H8" s="8" t="s">
        <v>114</v>
      </c>
      <c r="I8" s="9">
        <v>45030</v>
      </c>
      <c r="J8" s="9">
        <v>45077</v>
      </c>
      <c r="K8" s="9">
        <v>45072</v>
      </c>
      <c r="L8" s="7" t="s">
        <v>44</v>
      </c>
      <c r="M8" s="7" t="s">
        <v>45</v>
      </c>
      <c r="N8" s="11" t="s">
        <v>81</v>
      </c>
      <c r="O8" s="12" t="s">
        <v>91</v>
      </c>
      <c r="P8" s="13">
        <v>-5</v>
      </c>
      <c r="Q8" s="14" t="s">
        <v>60</v>
      </c>
      <c r="R8" s="15" t="s">
        <v>46</v>
      </c>
      <c r="S8" s="15"/>
      <c r="T8" s="15" t="s">
        <v>116</v>
      </c>
      <c r="U8" s="16" t="s">
        <v>51</v>
      </c>
      <c r="V8" s="16" t="s">
        <v>51</v>
      </c>
      <c r="W8" s="16" t="s">
        <v>51</v>
      </c>
      <c r="X8" s="16" t="s">
        <v>50</v>
      </c>
      <c r="Y8" s="16" t="s">
        <v>50</v>
      </c>
      <c r="Z8" s="5" t="s">
        <v>85</v>
      </c>
      <c r="AA8" s="5" t="s">
        <v>141</v>
      </c>
      <c r="AB8" s="5"/>
      <c r="AC8" s="17">
        <v>759166.29</v>
      </c>
      <c r="AD8" s="17">
        <v>717396.88</v>
      </c>
      <c r="AE8" s="17">
        <v>0</v>
      </c>
      <c r="AF8" s="17">
        <v>0</v>
      </c>
      <c r="AG8" s="17">
        <v>0</v>
      </c>
      <c r="AH8" s="18">
        <v>608.83000000000004</v>
      </c>
      <c r="AI8" s="11">
        <v>0</v>
      </c>
      <c r="AJ8" s="7" t="s">
        <v>69</v>
      </c>
      <c r="AK8" s="19">
        <v>-41769.410000000033</v>
      </c>
      <c r="AL8" s="11">
        <v>-5.5020106332698271E-2</v>
      </c>
      <c r="AM8" s="19">
        <f t="shared" si="0"/>
        <v>1178.3205164003086</v>
      </c>
    </row>
    <row r="9" spans="1:39" x14ac:dyDescent="0.25">
      <c r="A9" s="4">
        <v>45078</v>
      </c>
      <c r="B9" s="25" t="s">
        <v>147</v>
      </c>
      <c r="C9" s="23" t="s">
        <v>38</v>
      </c>
      <c r="D9" s="6" t="s">
        <v>148</v>
      </c>
      <c r="E9" s="7" t="s">
        <v>78</v>
      </c>
      <c r="F9" s="8" t="s">
        <v>149</v>
      </c>
      <c r="G9" s="8" t="s">
        <v>42</v>
      </c>
      <c r="H9" s="8" t="s">
        <v>43</v>
      </c>
      <c r="I9" s="9">
        <v>45030</v>
      </c>
      <c r="J9" s="9">
        <v>45107</v>
      </c>
      <c r="K9" s="9">
        <v>45128</v>
      </c>
      <c r="L9" s="7" t="s">
        <v>44</v>
      </c>
      <c r="M9" s="7" t="s">
        <v>45</v>
      </c>
      <c r="N9" s="11" t="s">
        <v>46</v>
      </c>
      <c r="O9" s="12" t="s">
        <v>150</v>
      </c>
      <c r="P9" s="13">
        <v>21</v>
      </c>
      <c r="Q9" s="14" t="s">
        <v>48</v>
      </c>
      <c r="R9" s="15" t="s">
        <v>83</v>
      </c>
      <c r="S9" s="15"/>
      <c r="T9" s="15" t="s">
        <v>116</v>
      </c>
      <c r="U9" s="16" t="s">
        <v>51</v>
      </c>
      <c r="V9" s="16" t="s">
        <v>51</v>
      </c>
      <c r="W9" s="16" t="s">
        <v>51</v>
      </c>
      <c r="X9" s="16" t="s">
        <v>50</v>
      </c>
      <c r="Y9" s="16" t="s">
        <v>51</v>
      </c>
      <c r="Z9" s="5" t="s">
        <v>151</v>
      </c>
      <c r="AA9" s="5" t="s">
        <v>152</v>
      </c>
      <c r="AB9" s="5"/>
      <c r="AC9" s="17">
        <v>1689717.95</v>
      </c>
      <c r="AD9" s="17">
        <v>1459637.82</v>
      </c>
      <c r="AE9" s="17">
        <v>37844.949999999997</v>
      </c>
      <c r="AF9" s="17">
        <v>0</v>
      </c>
      <c r="AG9" s="17">
        <v>0</v>
      </c>
      <c r="AH9" s="18">
        <v>495</v>
      </c>
      <c r="AI9" s="11">
        <v>2.5927630458355756E-2</v>
      </c>
      <c r="AJ9" s="7" t="s">
        <v>69</v>
      </c>
      <c r="AK9" s="19">
        <v>-230080.12999999989</v>
      </c>
      <c r="AL9" s="11">
        <v>-0.13616481377853618</v>
      </c>
      <c r="AM9" s="19">
        <f t="shared" si="0"/>
        <v>3025.2177171717171</v>
      </c>
    </row>
    <row r="10" spans="1:39" x14ac:dyDescent="0.25">
      <c r="A10" s="4">
        <v>45078</v>
      </c>
      <c r="B10" s="25" t="s">
        <v>142</v>
      </c>
      <c r="C10" s="23" t="s">
        <v>38</v>
      </c>
      <c r="D10" s="6" t="s">
        <v>143</v>
      </c>
      <c r="E10" s="7" t="s">
        <v>40</v>
      </c>
      <c r="F10" s="8" t="s">
        <v>144</v>
      </c>
      <c r="G10" s="8" t="s">
        <v>145</v>
      </c>
      <c r="H10" s="8" t="s">
        <v>114</v>
      </c>
      <c r="I10" s="9">
        <v>45055</v>
      </c>
      <c r="J10" s="9">
        <v>45103</v>
      </c>
      <c r="K10" s="9">
        <v>45103</v>
      </c>
      <c r="L10" s="7" t="s">
        <v>44</v>
      </c>
      <c r="M10" s="7" t="s">
        <v>45</v>
      </c>
      <c r="N10" s="11" t="s">
        <v>81</v>
      </c>
      <c r="O10" s="12" t="s">
        <v>97</v>
      </c>
      <c r="P10" s="13">
        <v>0</v>
      </c>
      <c r="Q10" s="14" t="s">
        <v>60</v>
      </c>
      <c r="R10" s="15" t="s">
        <v>83</v>
      </c>
      <c r="S10" s="15"/>
      <c r="T10" s="15" t="s">
        <v>116</v>
      </c>
      <c r="U10" s="16" t="s">
        <v>51</v>
      </c>
      <c r="V10" s="16" t="s">
        <v>51</v>
      </c>
      <c r="W10" s="16" t="s">
        <v>51</v>
      </c>
      <c r="X10" s="16" t="s">
        <v>50</v>
      </c>
      <c r="Y10" s="16" t="s">
        <v>50</v>
      </c>
      <c r="Z10" s="5" t="s">
        <v>85</v>
      </c>
      <c r="AA10" s="5" t="s">
        <v>146</v>
      </c>
      <c r="AB10" s="5"/>
      <c r="AC10" s="17">
        <v>285484.03999999998</v>
      </c>
      <c r="AD10" s="17">
        <v>278252.51</v>
      </c>
      <c r="AE10" s="17"/>
      <c r="AF10" s="17">
        <v>0</v>
      </c>
      <c r="AG10" s="17">
        <v>0</v>
      </c>
      <c r="AH10" s="18">
        <v>217.44</v>
      </c>
      <c r="AI10" s="11">
        <v>0</v>
      </c>
      <c r="AJ10" s="7" t="s">
        <v>69</v>
      </c>
      <c r="AK10" s="19">
        <v>-7231.5299999999697</v>
      </c>
      <c r="AL10" s="11">
        <v>-2.5330768052742925E-2</v>
      </c>
      <c r="AM10" s="19">
        <f t="shared" si="0"/>
        <v>1279.6748988226639</v>
      </c>
    </row>
    <row r="11" spans="1:39" x14ac:dyDescent="0.25">
      <c r="A11" s="4">
        <v>45108</v>
      </c>
      <c r="B11" s="25" t="s">
        <v>162</v>
      </c>
      <c r="C11" s="23" t="s">
        <v>38</v>
      </c>
      <c r="D11" s="6" t="s">
        <v>163</v>
      </c>
      <c r="E11" s="7" t="s">
        <v>78</v>
      </c>
      <c r="F11" s="8" t="s">
        <v>164</v>
      </c>
      <c r="G11" s="8" t="s">
        <v>165</v>
      </c>
      <c r="H11" s="8" t="s">
        <v>122</v>
      </c>
      <c r="I11" s="9">
        <v>45080</v>
      </c>
      <c r="J11" s="9">
        <v>45122</v>
      </c>
      <c r="K11" s="9">
        <v>45122</v>
      </c>
      <c r="L11" s="7" t="s">
        <v>44</v>
      </c>
      <c r="M11" s="7" t="s">
        <v>45</v>
      </c>
      <c r="N11" s="11" t="s">
        <v>46</v>
      </c>
      <c r="O11" s="12" t="s">
        <v>150</v>
      </c>
      <c r="P11" s="13">
        <v>0</v>
      </c>
      <c r="Q11" s="14" t="s">
        <v>60</v>
      </c>
      <c r="R11" s="15" t="s">
        <v>46</v>
      </c>
      <c r="S11" s="15"/>
      <c r="T11" s="15" t="s">
        <v>116</v>
      </c>
      <c r="U11" s="16" t="s">
        <v>51</v>
      </c>
      <c r="V11" s="16" t="s">
        <v>51</v>
      </c>
      <c r="W11" s="16" t="s">
        <v>51</v>
      </c>
      <c r="X11" s="16" t="s">
        <v>50</v>
      </c>
      <c r="Y11" s="16" t="s">
        <v>50</v>
      </c>
      <c r="Z11" s="5" t="s">
        <v>151</v>
      </c>
      <c r="AA11" s="5" t="s">
        <v>166</v>
      </c>
      <c r="AB11" s="5"/>
      <c r="AC11" s="17">
        <v>215379.45</v>
      </c>
      <c r="AD11" s="17">
        <v>200989.82</v>
      </c>
      <c r="AE11" s="17">
        <v>0</v>
      </c>
      <c r="AF11" s="17">
        <v>0</v>
      </c>
      <c r="AG11" s="17">
        <v>0</v>
      </c>
      <c r="AH11" s="18">
        <v>54.65</v>
      </c>
      <c r="AI11" s="11">
        <v>0</v>
      </c>
      <c r="AJ11" s="7" t="s">
        <v>69</v>
      </c>
      <c r="AK11" s="19">
        <v>-14389.630000000005</v>
      </c>
      <c r="AL11" s="11">
        <v>-6.6810598689893586E-2</v>
      </c>
      <c r="AM11" s="19">
        <f t="shared" si="0"/>
        <v>3677.764318389753</v>
      </c>
    </row>
    <row r="12" spans="1:39" x14ac:dyDescent="0.25">
      <c r="A12" s="4">
        <v>45108</v>
      </c>
      <c r="B12" s="25" t="s">
        <v>153</v>
      </c>
      <c r="C12" s="23" t="s">
        <v>38</v>
      </c>
      <c r="D12" s="6" t="s">
        <v>154</v>
      </c>
      <c r="E12" s="7" t="s">
        <v>78</v>
      </c>
      <c r="F12" s="8" t="s">
        <v>73</v>
      </c>
      <c r="G12" s="8" t="s">
        <v>42</v>
      </c>
      <c r="H12" s="8" t="s">
        <v>43</v>
      </c>
      <c r="I12" s="9">
        <v>45030</v>
      </c>
      <c r="J12" s="9">
        <v>45120</v>
      </c>
      <c r="K12" s="9">
        <v>45120</v>
      </c>
      <c r="L12" s="7" t="s">
        <v>44</v>
      </c>
      <c r="M12" s="7" t="s">
        <v>45</v>
      </c>
      <c r="N12" s="11" t="s">
        <v>46</v>
      </c>
      <c r="O12" s="12" t="s">
        <v>150</v>
      </c>
      <c r="P12" s="13">
        <v>0</v>
      </c>
      <c r="Q12" s="14" t="s">
        <v>60</v>
      </c>
      <c r="R12" s="15" t="s">
        <v>83</v>
      </c>
      <c r="S12" s="15"/>
      <c r="T12" s="15" t="s">
        <v>116</v>
      </c>
      <c r="U12" s="16" t="s">
        <v>51</v>
      </c>
      <c r="V12" s="16" t="s">
        <v>51</v>
      </c>
      <c r="W12" s="16" t="s">
        <v>51</v>
      </c>
      <c r="X12" s="16" t="s">
        <v>50</v>
      </c>
      <c r="Y12" s="16" t="s">
        <v>50</v>
      </c>
      <c r="Z12" s="5" t="s">
        <v>151</v>
      </c>
      <c r="AA12" s="5" t="s">
        <v>155</v>
      </c>
      <c r="AB12" s="5"/>
      <c r="AC12" s="17">
        <v>3038633.49</v>
      </c>
      <c r="AD12" s="17">
        <v>2807880.4</v>
      </c>
      <c r="AE12" s="17"/>
      <c r="AF12" s="17">
        <v>0</v>
      </c>
      <c r="AG12" s="17">
        <v>0</v>
      </c>
      <c r="AH12" s="18">
        <v>966.81</v>
      </c>
      <c r="AI12" s="11">
        <v>0</v>
      </c>
      <c r="AJ12" s="7" t="s">
        <v>69</v>
      </c>
      <c r="AK12" s="19">
        <v>-230753.09000000032</v>
      </c>
      <c r="AL12" s="11">
        <v>-7.5939757380874662E-2</v>
      </c>
      <c r="AM12" s="19">
        <f t="shared" si="0"/>
        <v>2904.2732284523331</v>
      </c>
    </row>
    <row r="13" spans="1:39" x14ac:dyDescent="0.25">
      <c r="A13" s="4">
        <v>45108</v>
      </c>
      <c r="B13" s="25" t="s">
        <v>171</v>
      </c>
      <c r="C13" s="23" t="s">
        <v>38</v>
      </c>
      <c r="D13" s="6" t="s">
        <v>172</v>
      </c>
      <c r="E13" s="7" t="s">
        <v>40</v>
      </c>
      <c r="F13" s="8" t="s">
        <v>57</v>
      </c>
      <c r="G13" s="8" t="s">
        <v>42</v>
      </c>
      <c r="H13" s="8" t="s">
        <v>43</v>
      </c>
      <c r="I13" s="9">
        <v>44726</v>
      </c>
      <c r="J13" s="9">
        <v>44821</v>
      </c>
      <c r="K13" s="9">
        <v>45132</v>
      </c>
      <c r="L13" s="7" t="s">
        <v>44</v>
      </c>
      <c r="M13" s="7" t="s">
        <v>173</v>
      </c>
      <c r="N13" s="11" t="s">
        <v>81</v>
      </c>
      <c r="O13" s="12" t="s">
        <v>150</v>
      </c>
      <c r="P13" s="13">
        <v>311</v>
      </c>
      <c r="Q13" s="14" t="s">
        <v>48</v>
      </c>
      <c r="R13" s="15" t="s">
        <v>83</v>
      </c>
      <c r="S13" s="15"/>
      <c r="T13" s="15" t="s">
        <v>116</v>
      </c>
      <c r="U13" s="16" t="s">
        <v>50</v>
      </c>
      <c r="V13" s="16" t="s">
        <v>51</v>
      </c>
      <c r="W13" s="16" t="s">
        <v>51</v>
      </c>
      <c r="X13" s="16" t="s">
        <v>50</v>
      </c>
      <c r="Y13" s="16" t="s">
        <v>51</v>
      </c>
      <c r="Z13" s="5" t="s">
        <v>174</v>
      </c>
      <c r="AA13" s="5" t="s">
        <v>175</v>
      </c>
      <c r="AB13" s="5"/>
      <c r="AC13" s="17">
        <v>2630915.89</v>
      </c>
      <c r="AD13" s="17">
        <v>2585603.38</v>
      </c>
      <c r="AE13" s="17">
        <v>20500</v>
      </c>
      <c r="AF13" s="17">
        <v>0</v>
      </c>
      <c r="AG13" s="17">
        <v>0</v>
      </c>
      <c r="AH13" s="18">
        <v>1247.72</v>
      </c>
      <c r="AI13" s="11">
        <v>7.9285168632476036E-3</v>
      </c>
      <c r="AJ13" s="7" t="s">
        <v>69</v>
      </c>
      <c r="AK13" s="19">
        <v>-45312.510000000242</v>
      </c>
      <c r="AL13" s="11">
        <v>-1.7223093361605102E-2</v>
      </c>
      <c r="AM13" s="19">
        <f t="shared" si="0"/>
        <v>2088.6924790818452</v>
      </c>
    </row>
    <row r="14" spans="1:39" x14ac:dyDescent="0.25">
      <c r="A14" s="4">
        <v>45139</v>
      </c>
      <c r="B14" s="25" t="s">
        <v>176</v>
      </c>
      <c r="C14" s="23" t="s">
        <v>38</v>
      </c>
      <c r="D14" s="6" t="s">
        <v>177</v>
      </c>
      <c r="E14" s="7" t="s">
        <v>78</v>
      </c>
      <c r="F14" s="8" t="s">
        <v>178</v>
      </c>
      <c r="G14" s="8" t="s">
        <v>42</v>
      </c>
      <c r="H14" s="8" t="s">
        <v>43</v>
      </c>
      <c r="I14" s="9">
        <v>45068</v>
      </c>
      <c r="J14" s="9">
        <v>45141</v>
      </c>
      <c r="K14" s="9">
        <v>45141</v>
      </c>
      <c r="L14" s="7" t="s">
        <v>44</v>
      </c>
      <c r="M14" s="7" t="s">
        <v>45</v>
      </c>
      <c r="N14" s="11" t="s">
        <v>81</v>
      </c>
      <c r="O14" s="12" t="s">
        <v>179</v>
      </c>
      <c r="P14" s="13">
        <v>0</v>
      </c>
      <c r="Q14" s="14" t="s">
        <v>60</v>
      </c>
      <c r="R14" s="15" t="s">
        <v>83</v>
      </c>
      <c r="S14" s="15"/>
      <c r="T14" s="15" t="s">
        <v>116</v>
      </c>
      <c r="U14" s="16" t="s">
        <v>51</v>
      </c>
      <c r="V14" s="16" t="s">
        <v>51</v>
      </c>
      <c r="W14" s="16" t="s">
        <v>51</v>
      </c>
      <c r="X14" s="16" t="s">
        <v>50</v>
      </c>
      <c r="Y14" s="27" t="s">
        <v>50</v>
      </c>
      <c r="Z14" s="5" t="s">
        <v>180</v>
      </c>
      <c r="AA14" s="5" t="s">
        <v>180</v>
      </c>
      <c r="AB14" s="5"/>
      <c r="AC14" s="17">
        <v>275196.12</v>
      </c>
      <c r="AD14" s="17">
        <v>305730.11</v>
      </c>
      <c r="AE14" s="17">
        <v>0</v>
      </c>
      <c r="AF14" s="17">
        <v>0</v>
      </c>
      <c r="AG14" s="17">
        <v>0</v>
      </c>
      <c r="AH14" s="18">
        <v>274.07</v>
      </c>
      <c r="AI14" s="11">
        <v>0</v>
      </c>
      <c r="AJ14" s="7" t="s">
        <v>54</v>
      </c>
      <c r="AK14" s="19">
        <v>30533.989999999991</v>
      </c>
      <c r="AL14" s="11">
        <v>0.11095356286273228</v>
      </c>
      <c r="AM14" s="19">
        <f t="shared" si="0"/>
        <v>1115.5183347320028</v>
      </c>
    </row>
    <row r="15" spans="1:39" x14ac:dyDescent="0.25">
      <c r="A15" s="4">
        <v>45292</v>
      </c>
      <c r="B15" s="25" t="s">
        <v>188</v>
      </c>
      <c r="C15" s="5" t="s">
        <v>38</v>
      </c>
      <c r="D15" s="6" t="s">
        <v>189</v>
      </c>
      <c r="E15" s="7" t="s">
        <v>40</v>
      </c>
      <c r="F15" s="8" t="s">
        <v>139</v>
      </c>
      <c r="G15" s="8" t="s">
        <v>140</v>
      </c>
      <c r="H15" s="8" t="s">
        <v>114</v>
      </c>
      <c r="I15" s="9">
        <v>45265</v>
      </c>
      <c r="J15" s="9">
        <v>45316</v>
      </c>
      <c r="K15" s="9">
        <v>45307</v>
      </c>
      <c r="L15" s="7" t="s">
        <v>44</v>
      </c>
      <c r="M15" s="7" t="s">
        <v>45</v>
      </c>
      <c r="N15" s="11" t="s">
        <v>46</v>
      </c>
      <c r="O15" s="12" t="s">
        <v>184</v>
      </c>
      <c r="P15" s="13">
        <v>-9</v>
      </c>
      <c r="Q15" s="14" t="s">
        <v>60</v>
      </c>
      <c r="R15" s="15" t="s">
        <v>46</v>
      </c>
      <c r="S15" s="15"/>
      <c r="T15" s="15" t="s">
        <v>116</v>
      </c>
      <c r="U15" s="16" t="s">
        <v>51</v>
      </c>
      <c r="V15" s="16" t="s">
        <v>51</v>
      </c>
      <c r="W15" s="16" t="s">
        <v>51</v>
      </c>
      <c r="X15" s="16" t="s">
        <v>50</v>
      </c>
      <c r="Y15" s="16" t="s">
        <v>50</v>
      </c>
      <c r="Z15" s="5" t="s">
        <v>68</v>
      </c>
      <c r="AA15" s="5" t="s">
        <v>141</v>
      </c>
      <c r="AB15" s="5"/>
      <c r="AC15" s="17">
        <v>93225.99</v>
      </c>
      <c r="AD15" s="17">
        <v>97519.66</v>
      </c>
      <c r="AE15" s="17">
        <v>0</v>
      </c>
      <c r="AF15" s="17">
        <v>0</v>
      </c>
      <c r="AG15" s="17">
        <v>0</v>
      </c>
      <c r="AH15" s="18">
        <v>67.010000000000005</v>
      </c>
      <c r="AI15" s="11">
        <v>0</v>
      </c>
      <c r="AJ15" s="7" t="s">
        <v>54</v>
      </c>
      <c r="AK15" s="19">
        <v>4293.6699999999983</v>
      </c>
      <c r="AL15" s="11">
        <v>4.6056577141202704E-2</v>
      </c>
      <c r="AM15" s="19">
        <f t="shared" si="0"/>
        <v>1455.3001044620205</v>
      </c>
    </row>
    <row r="16" spans="1:39" x14ac:dyDescent="0.25">
      <c r="A16" s="4">
        <v>45292</v>
      </c>
      <c r="B16" s="25" t="s">
        <v>181</v>
      </c>
      <c r="C16" s="5" t="s">
        <v>38</v>
      </c>
      <c r="D16" s="6" t="s">
        <v>182</v>
      </c>
      <c r="E16" s="7" t="s">
        <v>78</v>
      </c>
      <c r="F16" s="8" t="s">
        <v>183</v>
      </c>
      <c r="G16" s="8" t="s">
        <v>42</v>
      </c>
      <c r="H16" s="8" t="s">
        <v>43</v>
      </c>
      <c r="I16" s="9">
        <v>45231</v>
      </c>
      <c r="J16" s="9">
        <v>45297</v>
      </c>
      <c r="K16" s="9">
        <v>45294</v>
      </c>
      <c r="L16" s="7" t="s">
        <v>44</v>
      </c>
      <c r="M16" s="7" t="s">
        <v>45</v>
      </c>
      <c r="N16" s="11" t="s">
        <v>46</v>
      </c>
      <c r="O16" s="12" t="s">
        <v>184</v>
      </c>
      <c r="P16" s="13">
        <v>-3</v>
      </c>
      <c r="Q16" s="14" t="s">
        <v>60</v>
      </c>
      <c r="R16" s="15" t="s">
        <v>46</v>
      </c>
      <c r="S16" s="15"/>
      <c r="T16" s="15" t="s">
        <v>116</v>
      </c>
      <c r="U16" s="16" t="s">
        <v>51</v>
      </c>
      <c r="V16" s="16" t="s">
        <v>51</v>
      </c>
      <c r="W16" s="16" t="s">
        <v>51</v>
      </c>
      <c r="X16" s="16" t="s">
        <v>50</v>
      </c>
      <c r="Y16" s="16" t="s">
        <v>50</v>
      </c>
      <c r="Z16" s="5" t="s">
        <v>61</v>
      </c>
      <c r="AA16" s="5" t="s">
        <v>152</v>
      </c>
      <c r="AB16" s="5"/>
      <c r="AC16" s="17">
        <v>333555.67</v>
      </c>
      <c r="AD16" s="17">
        <v>338584</v>
      </c>
      <c r="AE16" s="17">
        <v>0</v>
      </c>
      <c r="AF16" s="17">
        <v>0</v>
      </c>
      <c r="AG16" s="17">
        <v>0</v>
      </c>
      <c r="AH16" s="18">
        <v>270</v>
      </c>
      <c r="AI16" s="11">
        <v>0</v>
      </c>
      <c r="AJ16" s="7" t="s">
        <v>54</v>
      </c>
      <c r="AK16" s="19">
        <v>5028.3300000000163</v>
      </c>
      <c r="AL16" s="11">
        <v>1.5074934867693957E-2</v>
      </c>
      <c r="AM16" s="19">
        <f t="shared" si="0"/>
        <v>1254.0148148148148</v>
      </c>
    </row>
    <row r="17" spans="1:39" x14ac:dyDescent="0.25">
      <c r="A17" s="4">
        <v>45292</v>
      </c>
      <c r="B17" s="25" t="s">
        <v>185</v>
      </c>
      <c r="C17" s="5" t="s">
        <v>38</v>
      </c>
      <c r="D17" s="6" t="s">
        <v>186</v>
      </c>
      <c r="E17" s="7" t="s">
        <v>78</v>
      </c>
      <c r="F17" s="8" t="s">
        <v>158</v>
      </c>
      <c r="G17" s="8" t="s">
        <v>42</v>
      </c>
      <c r="H17" s="8" t="s">
        <v>43</v>
      </c>
      <c r="I17" s="9">
        <v>45240</v>
      </c>
      <c r="J17" s="9">
        <v>45297</v>
      </c>
      <c r="K17" s="9">
        <v>45297</v>
      </c>
      <c r="L17" s="7" t="s">
        <v>44</v>
      </c>
      <c r="M17" s="7" t="s">
        <v>45</v>
      </c>
      <c r="N17" s="11" t="s">
        <v>46</v>
      </c>
      <c r="O17" s="12" t="s">
        <v>184</v>
      </c>
      <c r="P17" s="13">
        <v>0</v>
      </c>
      <c r="Q17" s="14" t="s">
        <v>60</v>
      </c>
      <c r="R17" s="15" t="s">
        <v>46</v>
      </c>
      <c r="S17" s="15"/>
      <c r="T17" s="15" t="s">
        <v>116</v>
      </c>
      <c r="U17" s="16" t="s">
        <v>51</v>
      </c>
      <c r="V17" s="16" t="s">
        <v>51</v>
      </c>
      <c r="W17" s="16" t="s">
        <v>51</v>
      </c>
      <c r="X17" s="16" t="s">
        <v>50</v>
      </c>
      <c r="Y17" s="16" t="s">
        <v>50</v>
      </c>
      <c r="Z17" s="5" t="s">
        <v>61</v>
      </c>
      <c r="AA17" s="5" t="s">
        <v>187</v>
      </c>
      <c r="AB17" s="5"/>
      <c r="AC17" s="17">
        <v>239745.20000000004</v>
      </c>
      <c r="AD17" s="17">
        <v>262560.25</v>
      </c>
      <c r="AE17" s="17">
        <v>0</v>
      </c>
      <c r="AF17" s="17">
        <v>0</v>
      </c>
      <c r="AG17" s="17">
        <v>0</v>
      </c>
      <c r="AH17" s="18">
        <v>257.92</v>
      </c>
      <c r="AI17" s="11">
        <v>0</v>
      </c>
      <c r="AJ17" s="7" t="s">
        <v>54</v>
      </c>
      <c r="AK17" s="19">
        <v>22815.049999999959</v>
      </c>
      <c r="AL17" s="11">
        <v>9.5163740504502048E-2</v>
      </c>
      <c r="AM17" s="19">
        <f t="shared" si="0"/>
        <v>1017.9910437344912</v>
      </c>
    </row>
    <row r="18" spans="1:39" x14ac:dyDescent="0.25">
      <c r="A18" s="4">
        <v>45352</v>
      </c>
      <c r="B18" s="25" t="s">
        <v>190</v>
      </c>
      <c r="C18" s="5" t="s">
        <v>38</v>
      </c>
      <c r="D18" s="6" t="s">
        <v>191</v>
      </c>
      <c r="E18" s="7" t="s">
        <v>40</v>
      </c>
      <c r="F18" s="8" t="s">
        <v>192</v>
      </c>
      <c r="G18" s="8" t="s">
        <v>193</v>
      </c>
      <c r="H18" s="8" t="s">
        <v>66</v>
      </c>
      <c r="I18" s="9">
        <v>45335</v>
      </c>
      <c r="J18" s="9">
        <v>45379</v>
      </c>
      <c r="K18" s="9">
        <v>45376</v>
      </c>
      <c r="L18" s="7" t="s">
        <v>44</v>
      </c>
      <c r="M18" s="7" t="s">
        <v>45</v>
      </c>
      <c r="N18" s="11" t="s">
        <v>81</v>
      </c>
      <c r="O18" s="12" t="s">
        <v>194</v>
      </c>
      <c r="P18" s="13">
        <v>-3</v>
      </c>
      <c r="Q18" s="14" t="s">
        <v>60</v>
      </c>
      <c r="R18" s="15" t="s">
        <v>83</v>
      </c>
      <c r="S18" s="15"/>
      <c r="T18" s="15" t="s">
        <v>116</v>
      </c>
      <c r="U18" s="16" t="s">
        <v>51</v>
      </c>
      <c r="V18" s="16" t="s">
        <v>51</v>
      </c>
      <c r="W18" s="16" t="s">
        <v>51</v>
      </c>
      <c r="X18" s="16" t="s">
        <v>50</v>
      </c>
      <c r="Y18" s="16" t="s">
        <v>50</v>
      </c>
      <c r="Z18" s="5" t="s">
        <v>68</v>
      </c>
      <c r="AA18" s="5" t="s">
        <v>141</v>
      </c>
      <c r="AB18" s="5"/>
      <c r="AC18" s="17">
        <v>273193.31128300005</v>
      </c>
      <c r="AD18" s="17">
        <v>269981.21120000002</v>
      </c>
      <c r="AE18" s="17">
        <v>0</v>
      </c>
      <c r="AF18" s="17">
        <v>0</v>
      </c>
      <c r="AG18" s="17">
        <v>0</v>
      </c>
      <c r="AH18" s="18">
        <v>198.64</v>
      </c>
      <c r="AI18" s="11">
        <v>0</v>
      </c>
      <c r="AJ18" s="7" t="s">
        <v>69</v>
      </c>
      <c r="AK18" s="19">
        <v>-3212.1000830000266</v>
      </c>
      <c r="AL18" s="11">
        <v>-1.1757608807898778E-2</v>
      </c>
      <c r="AM18" s="19">
        <f t="shared" si="0"/>
        <v>1359.1482641965367</v>
      </c>
    </row>
    <row r="19" spans="1:39" x14ac:dyDescent="0.25">
      <c r="A19" s="4">
        <v>45444</v>
      </c>
      <c r="B19" s="25" t="s">
        <v>195</v>
      </c>
      <c r="C19" s="5" t="s">
        <v>38</v>
      </c>
      <c r="D19" s="6" t="s">
        <v>196</v>
      </c>
      <c r="E19" s="7" t="s">
        <v>78</v>
      </c>
      <c r="F19" s="7" t="s">
        <v>73</v>
      </c>
      <c r="G19" s="7" t="s">
        <v>42</v>
      </c>
      <c r="H19" s="7" t="s">
        <v>43</v>
      </c>
      <c r="I19" s="9">
        <v>45422</v>
      </c>
      <c r="J19" s="9">
        <v>45473</v>
      </c>
      <c r="K19" s="9">
        <v>45468</v>
      </c>
      <c r="L19" s="7" t="s">
        <v>44</v>
      </c>
      <c r="M19" s="7" t="s">
        <v>45</v>
      </c>
      <c r="N19" s="7" t="s">
        <v>83</v>
      </c>
      <c r="O19" s="12" t="s">
        <v>197</v>
      </c>
      <c r="P19" s="13">
        <v>-5</v>
      </c>
      <c r="Q19" s="14" t="s">
        <v>60</v>
      </c>
      <c r="R19" s="15" t="s">
        <v>83</v>
      </c>
      <c r="S19" s="15"/>
      <c r="T19" s="15" t="s">
        <v>116</v>
      </c>
      <c r="U19" s="16" t="s">
        <v>51</v>
      </c>
      <c r="V19" s="16" t="s">
        <v>51</v>
      </c>
      <c r="W19" s="16" t="s">
        <v>51</v>
      </c>
      <c r="X19" s="16" t="s">
        <v>50</v>
      </c>
      <c r="Y19" s="16" t="s">
        <v>50</v>
      </c>
      <c r="Z19" s="5" t="s">
        <v>61</v>
      </c>
      <c r="AA19" s="20"/>
      <c r="AB19" s="20"/>
      <c r="AC19" s="17">
        <v>88476.231599999999</v>
      </c>
      <c r="AD19" s="17">
        <v>101410.5</v>
      </c>
      <c r="AE19" s="17">
        <v>0</v>
      </c>
      <c r="AF19" s="17">
        <v>0</v>
      </c>
      <c r="AG19" s="17">
        <v>0</v>
      </c>
      <c r="AH19" s="18">
        <v>52.58</v>
      </c>
      <c r="AI19" s="11">
        <v>0</v>
      </c>
      <c r="AJ19" s="7" t="s">
        <v>54</v>
      </c>
      <c r="AK19" s="19">
        <v>12934.268400000001</v>
      </c>
      <c r="AL19" s="11">
        <v>0.14618918737944986</v>
      </c>
      <c r="AM19" s="19">
        <f t="shared" si="0"/>
        <v>1928.6896158235072</v>
      </c>
    </row>
    <row r="20" spans="1:39" x14ac:dyDescent="0.25">
      <c r="A20" s="4">
        <v>45474</v>
      </c>
      <c r="B20" s="25" t="s">
        <v>375</v>
      </c>
      <c r="C20" s="5" t="s">
        <v>38</v>
      </c>
      <c r="D20" s="6" t="s">
        <v>376</v>
      </c>
      <c r="E20" s="7" t="s">
        <v>40</v>
      </c>
      <c r="F20" s="7" t="s">
        <v>327</v>
      </c>
      <c r="G20" s="7" t="s">
        <v>140</v>
      </c>
      <c r="H20" s="7" t="s">
        <v>114</v>
      </c>
      <c r="I20" s="9">
        <v>45444</v>
      </c>
      <c r="J20" s="9">
        <v>45489</v>
      </c>
      <c r="K20" s="9">
        <v>45488</v>
      </c>
      <c r="L20" s="7" t="s">
        <v>44</v>
      </c>
      <c r="M20" s="7" t="s">
        <v>45</v>
      </c>
      <c r="N20" s="7" t="s">
        <v>83</v>
      </c>
      <c r="O20" s="12" t="s">
        <v>377</v>
      </c>
      <c r="P20" s="13">
        <v>-1</v>
      </c>
      <c r="Q20" s="14" t="s">
        <v>60</v>
      </c>
      <c r="R20" s="15" t="s">
        <v>83</v>
      </c>
      <c r="S20" s="15"/>
      <c r="T20" s="15" t="s">
        <v>116</v>
      </c>
      <c r="U20" s="16" t="s">
        <v>51</v>
      </c>
      <c r="V20" s="16" t="s">
        <v>51</v>
      </c>
      <c r="W20" s="16" t="s">
        <v>51</v>
      </c>
      <c r="X20" s="16" t="s">
        <v>50</v>
      </c>
      <c r="Y20" s="16" t="s">
        <v>50</v>
      </c>
      <c r="Z20" s="5" t="s">
        <v>68</v>
      </c>
      <c r="AA20" s="20"/>
      <c r="AB20" s="20"/>
      <c r="AC20" s="17">
        <v>561722.18599999999</v>
      </c>
      <c r="AD20" s="17">
        <v>537788.12</v>
      </c>
      <c r="AE20" s="17">
        <v>73413.78</v>
      </c>
      <c r="AF20" s="17">
        <v>70480.25</v>
      </c>
      <c r="AG20" s="17"/>
      <c r="AH20" s="18">
        <v>170.7</v>
      </c>
      <c r="AI20" s="11">
        <v>0.13651060198205942</v>
      </c>
      <c r="AJ20" s="7" t="s">
        <v>69</v>
      </c>
      <c r="AK20" s="19">
        <v>-23934.065999999992</v>
      </c>
      <c r="AL20" s="11">
        <v>-4.2608368685654874E-2</v>
      </c>
      <c r="AM20" s="19">
        <f t="shared" si="0"/>
        <v>3580.561804335091</v>
      </c>
    </row>
    <row r="21" spans="1:39" x14ac:dyDescent="0.25">
      <c r="A21" s="4">
        <v>45474</v>
      </c>
      <c r="B21" s="25" t="s">
        <v>378</v>
      </c>
      <c r="C21" s="5" t="s">
        <v>38</v>
      </c>
      <c r="D21" s="6" t="s">
        <v>379</v>
      </c>
      <c r="E21" s="7" t="s">
        <v>40</v>
      </c>
      <c r="F21" s="7" t="s">
        <v>112</v>
      </c>
      <c r="G21" s="7" t="s">
        <v>113</v>
      </c>
      <c r="H21" s="7" t="s">
        <v>114</v>
      </c>
      <c r="I21" s="9">
        <v>45451</v>
      </c>
      <c r="J21" s="9">
        <v>45504</v>
      </c>
      <c r="K21" s="9">
        <v>45504</v>
      </c>
      <c r="L21" s="7" t="s">
        <v>44</v>
      </c>
      <c r="M21" s="7" t="s">
        <v>45</v>
      </c>
      <c r="N21" s="7" t="s">
        <v>83</v>
      </c>
      <c r="O21" s="12" t="s">
        <v>377</v>
      </c>
      <c r="P21" s="13">
        <v>0</v>
      </c>
      <c r="Q21" s="14" t="s">
        <v>60</v>
      </c>
      <c r="R21" s="15" t="s">
        <v>83</v>
      </c>
      <c r="S21" s="15"/>
      <c r="T21" s="15" t="s">
        <v>116</v>
      </c>
      <c r="U21" s="16" t="s">
        <v>51</v>
      </c>
      <c r="V21" s="16" t="s">
        <v>51</v>
      </c>
      <c r="W21" s="16" t="s">
        <v>51</v>
      </c>
      <c r="X21" s="16" t="s">
        <v>50</v>
      </c>
      <c r="Y21" s="16" t="s">
        <v>50</v>
      </c>
      <c r="Z21" s="5" t="s">
        <v>68</v>
      </c>
      <c r="AA21" s="20"/>
      <c r="AB21" s="20"/>
      <c r="AC21" s="17">
        <v>598289.56239999994</v>
      </c>
      <c r="AD21" s="17">
        <v>537457.85000000009</v>
      </c>
      <c r="AE21" s="17">
        <v>5729.18</v>
      </c>
      <c r="AF21" s="17">
        <v>5729.18</v>
      </c>
      <c r="AG21" s="17"/>
      <c r="AH21" s="18">
        <v>282.64</v>
      </c>
      <c r="AI21" s="11">
        <v>1.0659775459601156E-2</v>
      </c>
      <c r="AJ21" s="7" t="s">
        <v>69</v>
      </c>
      <c r="AK21" s="19">
        <v>-60831.712399999844</v>
      </c>
      <c r="AL21" s="11">
        <v>-0.10167603819792104</v>
      </c>
      <c r="AM21" s="19">
        <f t="shared" si="0"/>
        <v>1921.8335338239463</v>
      </c>
    </row>
    <row r="22" spans="1:39" x14ac:dyDescent="0.25">
      <c r="A22" s="4">
        <v>45474</v>
      </c>
      <c r="B22" s="25" t="s">
        <v>380</v>
      </c>
      <c r="C22" s="5" t="s">
        <v>38</v>
      </c>
      <c r="D22" s="6" t="s">
        <v>381</v>
      </c>
      <c r="E22" s="7" t="s">
        <v>78</v>
      </c>
      <c r="F22" s="7" t="s">
        <v>382</v>
      </c>
      <c r="G22" s="7" t="s">
        <v>42</v>
      </c>
      <c r="H22" s="7" t="s">
        <v>43</v>
      </c>
      <c r="I22" s="9">
        <v>45459</v>
      </c>
      <c r="J22" s="9">
        <v>45504</v>
      </c>
      <c r="K22" s="9">
        <v>45504</v>
      </c>
      <c r="L22" s="7" t="s">
        <v>44</v>
      </c>
      <c r="M22" s="7" t="s">
        <v>45</v>
      </c>
      <c r="N22" s="7" t="s">
        <v>83</v>
      </c>
      <c r="O22" s="12" t="s">
        <v>377</v>
      </c>
      <c r="P22" s="13">
        <v>0</v>
      </c>
      <c r="Q22" s="14" t="s">
        <v>60</v>
      </c>
      <c r="R22" s="15" t="s">
        <v>83</v>
      </c>
      <c r="S22" s="15"/>
      <c r="T22" s="15" t="s">
        <v>116</v>
      </c>
      <c r="U22" s="16" t="s">
        <v>51</v>
      </c>
      <c r="V22" s="16" t="s">
        <v>51</v>
      </c>
      <c r="W22" s="16" t="s">
        <v>51</v>
      </c>
      <c r="X22" s="16" t="s">
        <v>50</v>
      </c>
      <c r="Y22" s="16" t="s">
        <v>50</v>
      </c>
      <c r="Z22" s="5" t="s">
        <v>61</v>
      </c>
      <c r="AA22" s="20"/>
      <c r="AB22" s="20"/>
      <c r="AC22" s="17">
        <v>153949.60800000001</v>
      </c>
      <c r="AD22" s="17">
        <v>145180.95000000001</v>
      </c>
      <c r="AE22" s="17">
        <v>6594.45</v>
      </c>
      <c r="AF22" s="17">
        <v>6594.45</v>
      </c>
      <c r="AG22" s="17"/>
      <c r="AH22" s="18">
        <v>106.42</v>
      </c>
      <c r="AI22" s="11">
        <v>4.5422281642322905E-2</v>
      </c>
      <c r="AJ22" s="7" t="s">
        <v>69</v>
      </c>
      <c r="AK22" s="19">
        <v>-8768.6579999999958</v>
      </c>
      <c r="AL22" s="11">
        <v>-5.695797549546211E-2</v>
      </c>
      <c r="AM22" s="19">
        <f t="shared" si="0"/>
        <v>1426.1924450291301</v>
      </c>
    </row>
    <row r="23" spans="1:39" x14ac:dyDescent="0.25">
      <c r="A23" s="4">
        <v>45474</v>
      </c>
      <c r="B23" s="25" t="s">
        <v>383</v>
      </c>
      <c r="C23" s="5" t="s">
        <v>38</v>
      </c>
      <c r="D23" s="6" t="s">
        <v>384</v>
      </c>
      <c r="E23" s="7" t="s">
        <v>78</v>
      </c>
      <c r="F23" s="7" t="s">
        <v>183</v>
      </c>
      <c r="G23" s="7" t="s">
        <v>42</v>
      </c>
      <c r="H23" s="7" t="s">
        <v>43</v>
      </c>
      <c r="I23" s="9">
        <v>45449</v>
      </c>
      <c r="J23" s="9">
        <v>45504</v>
      </c>
      <c r="K23" s="9">
        <v>45504</v>
      </c>
      <c r="L23" s="7" t="s">
        <v>44</v>
      </c>
      <c r="M23" s="7" t="s">
        <v>45</v>
      </c>
      <c r="N23" s="7" t="s">
        <v>83</v>
      </c>
      <c r="O23" s="12" t="s">
        <v>377</v>
      </c>
      <c r="P23" s="13">
        <v>0</v>
      </c>
      <c r="Q23" s="14" t="s">
        <v>60</v>
      </c>
      <c r="R23" s="15" t="s">
        <v>83</v>
      </c>
      <c r="S23" s="15"/>
      <c r="T23" s="15" t="s">
        <v>116</v>
      </c>
      <c r="U23" s="16" t="s">
        <v>51</v>
      </c>
      <c r="V23" s="16" t="s">
        <v>51</v>
      </c>
      <c r="W23" s="16" t="s">
        <v>51</v>
      </c>
      <c r="X23" s="16" t="s">
        <v>50</v>
      </c>
      <c r="Y23" s="16" t="s">
        <v>50</v>
      </c>
      <c r="Z23" s="5" t="s">
        <v>61</v>
      </c>
      <c r="AA23" s="20"/>
      <c r="AB23" s="20"/>
      <c r="AC23" s="17">
        <v>454771.28060000006</v>
      </c>
      <c r="AD23" s="17">
        <v>441387.5</v>
      </c>
      <c r="AE23" s="17">
        <v>0</v>
      </c>
      <c r="AF23" s="17">
        <v>0</v>
      </c>
      <c r="AG23" s="17"/>
      <c r="AH23" s="18">
        <v>346</v>
      </c>
      <c r="AI23" s="11">
        <v>0</v>
      </c>
      <c r="AJ23" s="7" t="s">
        <v>69</v>
      </c>
      <c r="AK23" s="19">
        <v>-13383.780600000056</v>
      </c>
      <c r="AL23" s="11">
        <v>-2.9429696137236783E-2</v>
      </c>
      <c r="AM23" s="19">
        <f t="shared" si="0"/>
        <v>1275.686416184971</v>
      </c>
    </row>
    <row r="24" spans="1:39" x14ac:dyDescent="0.25">
      <c r="A24" s="4">
        <v>45505</v>
      </c>
      <c r="B24" s="25" t="s">
        <v>198</v>
      </c>
      <c r="C24" s="5" t="s">
        <v>38</v>
      </c>
      <c r="D24" s="6" t="s">
        <v>199</v>
      </c>
      <c r="E24" s="7" t="s">
        <v>78</v>
      </c>
      <c r="F24" s="7" t="s">
        <v>200</v>
      </c>
      <c r="G24" s="7" t="s">
        <v>42</v>
      </c>
      <c r="H24" s="7" t="s">
        <v>43</v>
      </c>
      <c r="I24" s="9">
        <v>45484</v>
      </c>
      <c r="J24" s="9">
        <v>45535</v>
      </c>
      <c r="K24" s="9">
        <v>45535</v>
      </c>
      <c r="L24" s="7" t="s">
        <v>44</v>
      </c>
      <c r="M24" s="9" t="s">
        <v>45</v>
      </c>
      <c r="N24" s="9" t="s">
        <v>83</v>
      </c>
      <c r="O24" s="12" t="s">
        <v>201</v>
      </c>
      <c r="P24" s="13">
        <v>0</v>
      </c>
      <c r="Q24" s="14" t="s">
        <v>60</v>
      </c>
      <c r="R24" s="15" t="s">
        <v>83</v>
      </c>
      <c r="S24" s="15"/>
      <c r="T24" s="15" t="s">
        <v>116</v>
      </c>
      <c r="U24" s="16" t="s">
        <v>51</v>
      </c>
      <c r="V24" s="16" t="s">
        <v>51</v>
      </c>
      <c r="W24" s="16" t="s">
        <v>51</v>
      </c>
      <c r="X24" s="16" t="s">
        <v>50</v>
      </c>
      <c r="Y24" s="16" t="s">
        <v>50</v>
      </c>
      <c r="Z24" s="5" t="s">
        <v>61</v>
      </c>
      <c r="AA24" s="5" t="s">
        <v>125</v>
      </c>
      <c r="AB24" s="5"/>
      <c r="AC24" s="17">
        <v>448443.38959999994</v>
      </c>
      <c r="AD24" s="17">
        <v>462222</v>
      </c>
      <c r="AE24" s="17">
        <v>7020.64</v>
      </c>
      <c r="AF24" s="17">
        <v>0</v>
      </c>
      <c r="AG24" s="17">
        <v>0</v>
      </c>
      <c r="AH24" s="18">
        <v>304.42</v>
      </c>
      <c r="AI24" s="11">
        <v>1.5188891917736499E-2</v>
      </c>
      <c r="AJ24" s="7" t="s">
        <v>54</v>
      </c>
      <c r="AK24" s="19">
        <v>13778.610400000063</v>
      </c>
      <c r="AL24" s="11">
        <v>3.0725417565615754E-2</v>
      </c>
      <c r="AM24" s="19">
        <f t="shared" si="0"/>
        <v>1541.431706195388</v>
      </c>
    </row>
    <row r="25" spans="1:39" x14ac:dyDescent="0.25">
      <c r="A25" s="4">
        <v>45536</v>
      </c>
      <c r="B25" s="25" t="s">
        <v>205</v>
      </c>
      <c r="C25" s="5" t="s">
        <v>38</v>
      </c>
      <c r="D25" s="6" t="s">
        <v>206</v>
      </c>
      <c r="E25" s="7" t="s">
        <v>78</v>
      </c>
      <c r="F25" s="8" t="s">
        <v>57</v>
      </c>
      <c r="G25" s="8" t="s">
        <v>42</v>
      </c>
      <c r="H25" s="8" t="s">
        <v>43</v>
      </c>
      <c r="I25" s="9">
        <v>45505</v>
      </c>
      <c r="J25" s="9">
        <v>45565</v>
      </c>
      <c r="K25" s="9">
        <v>45565</v>
      </c>
      <c r="L25" s="7" t="s">
        <v>44</v>
      </c>
      <c r="M25" s="7" t="s">
        <v>45</v>
      </c>
      <c r="N25" s="11" t="s">
        <v>83</v>
      </c>
      <c r="O25" s="12" t="s">
        <v>204</v>
      </c>
      <c r="P25" s="13">
        <v>0</v>
      </c>
      <c r="Q25" s="14" t="s">
        <v>60</v>
      </c>
      <c r="R25" s="15" t="s">
        <v>83</v>
      </c>
      <c r="S25" s="15"/>
      <c r="T25" s="15" t="s">
        <v>116</v>
      </c>
      <c r="U25" s="16" t="s">
        <v>51</v>
      </c>
      <c r="V25" s="16" t="s">
        <v>51</v>
      </c>
      <c r="W25" s="16" t="s">
        <v>51</v>
      </c>
      <c r="X25" s="16" t="s">
        <v>50</v>
      </c>
      <c r="Y25" s="16" t="s">
        <v>50</v>
      </c>
      <c r="Z25" s="5" t="s">
        <v>61</v>
      </c>
      <c r="AA25" s="20"/>
      <c r="AB25" s="20"/>
      <c r="AC25" s="17">
        <v>279411.0822</v>
      </c>
      <c r="AD25" s="17">
        <v>259348.46999999997</v>
      </c>
      <c r="AE25" s="17">
        <v>2880</v>
      </c>
      <c r="AF25" s="17">
        <v>0</v>
      </c>
      <c r="AG25" s="17">
        <v>0</v>
      </c>
      <c r="AH25" s="18">
        <v>143.31</v>
      </c>
      <c r="AI25" s="11">
        <v>1.1104750299857177E-2</v>
      </c>
      <c r="AJ25" s="7" t="s">
        <v>69</v>
      </c>
      <c r="AK25" s="19">
        <v>-20062.612200000032</v>
      </c>
      <c r="AL25" s="11">
        <v>-7.1803208527138507E-2</v>
      </c>
      <c r="AM25" s="19">
        <f t="shared" si="0"/>
        <v>1829.7988277161396</v>
      </c>
    </row>
    <row r="26" spans="1:39" x14ac:dyDescent="0.25">
      <c r="A26" s="4">
        <v>45536</v>
      </c>
      <c r="B26" s="25" t="s">
        <v>202</v>
      </c>
      <c r="C26" s="5" t="s">
        <v>38</v>
      </c>
      <c r="D26" s="6" t="s">
        <v>203</v>
      </c>
      <c r="E26" s="7" t="s">
        <v>40</v>
      </c>
      <c r="F26" s="8" t="s">
        <v>64</v>
      </c>
      <c r="G26" s="8" t="s">
        <v>65</v>
      </c>
      <c r="H26" s="8" t="s">
        <v>66</v>
      </c>
      <c r="I26" s="9">
        <v>45498</v>
      </c>
      <c r="J26" s="9">
        <v>45565</v>
      </c>
      <c r="K26" s="9">
        <v>45548</v>
      </c>
      <c r="L26" s="7" t="s">
        <v>44</v>
      </c>
      <c r="M26" s="7" t="s">
        <v>45</v>
      </c>
      <c r="N26" s="11" t="s">
        <v>83</v>
      </c>
      <c r="O26" s="12" t="s">
        <v>204</v>
      </c>
      <c r="P26" s="13">
        <v>-17</v>
      </c>
      <c r="Q26" s="14" t="s">
        <v>60</v>
      </c>
      <c r="R26" s="15" t="s">
        <v>83</v>
      </c>
      <c r="S26" s="15"/>
      <c r="T26" s="15" t="s">
        <v>116</v>
      </c>
      <c r="U26" s="16" t="s">
        <v>51</v>
      </c>
      <c r="V26" s="16" t="s">
        <v>51</v>
      </c>
      <c r="W26" s="16" t="s">
        <v>51</v>
      </c>
      <c r="X26" s="16" t="s">
        <v>50</v>
      </c>
      <c r="Y26" s="16" t="s">
        <v>50</v>
      </c>
      <c r="Z26" s="5" t="s">
        <v>68</v>
      </c>
      <c r="AA26" s="20"/>
      <c r="AB26" s="20"/>
      <c r="AC26" s="17">
        <v>609728.21763333329</v>
      </c>
      <c r="AD26" s="17">
        <v>602551.77630000003</v>
      </c>
      <c r="AE26" s="17">
        <v>17521.3</v>
      </c>
      <c r="AF26" s="17">
        <v>0</v>
      </c>
      <c r="AG26" s="17">
        <v>0</v>
      </c>
      <c r="AH26" s="18">
        <v>381.46</v>
      </c>
      <c r="AI26" s="11">
        <v>2.9078496967663819E-2</v>
      </c>
      <c r="AJ26" s="7" t="s">
        <v>69</v>
      </c>
      <c r="AK26" s="19">
        <v>-7176.4413333332632</v>
      </c>
      <c r="AL26" s="11">
        <v>-1.1769901942850325E-2</v>
      </c>
      <c r="AM26" s="19">
        <f t="shared" si="0"/>
        <v>1625.5258121428199</v>
      </c>
    </row>
    <row r="27" spans="1:39" x14ac:dyDescent="0.25">
      <c r="A27" s="4">
        <v>45566</v>
      </c>
      <c r="B27" s="25" t="s">
        <v>207</v>
      </c>
      <c r="C27" s="5" t="s">
        <v>38</v>
      </c>
      <c r="D27" s="6" t="s">
        <v>208</v>
      </c>
      <c r="E27" s="7" t="s">
        <v>40</v>
      </c>
      <c r="F27" s="7" t="s">
        <v>134</v>
      </c>
      <c r="G27" s="7" t="s">
        <v>135</v>
      </c>
      <c r="H27" s="7" t="s">
        <v>114</v>
      </c>
      <c r="I27" s="9">
        <v>45512</v>
      </c>
      <c r="J27" s="9">
        <v>45580</v>
      </c>
      <c r="K27" s="9">
        <v>45580</v>
      </c>
      <c r="L27" s="7" t="s">
        <v>44</v>
      </c>
      <c r="M27" s="9" t="s">
        <v>45</v>
      </c>
      <c r="N27" s="9" t="s">
        <v>83</v>
      </c>
      <c r="O27" s="12" t="s">
        <v>209</v>
      </c>
      <c r="P27" s="13">
        <v>0</v>
      </c>
      <c r="Q27" s="14" t="s">
        <v>60</v>
      </c>
      <c r="R27" s="15" t="s">
        <v>83</v>
      </c>
      <c r="S27" s="15"/>
      <c r="T27" s="15" t="s">
        <v>116</v>
      </c>
      <c r="U27" s="16" t="s">
        <v>51</v>
      </c>
      <c r="V27" s="16" t="s">
        <v>51</v>
      </c>
      <c r="W27" s="16" t="s">
        <v>51</v>
      </c>
      <c r="X27" s="16" t="s">
        <v>50</v>
      </c>
      <c r="Y27" s="16" t="s">
        <v>50</v>
      </c>
      <c r="Z27" s="5" t="s">
        <v>68</v>
      </c>
      <c r="AA27" s="20"/>
      <c r="AB27" s="20"/>
      <c r="AC27" s="17">
        <v>425299.08049999998</v>
      </c>
      <c r="AD27" s="17">
        <v>431440.91000000003</v>
      </c>
      <c r="AE27" s="17">
        <v>0</v>
      </c>
      <c r="AF27" s="17">
        <v>0</v>
      </c>
      <c r="AG27" s="17">
        <v>0</v>
      </c>
      <c r="AH27" s="18">
        <v>409.46</v>
      </c>
      <c r="AI27" s="11">
        <v>0</v>
      </c>
      <c r="AJ27" s="7" t="s">
        <v>54</v>
      </c>
      <c r="AK27" s="19">
        <v>6141.8295000000508</v>
      </c>
      <c r="AL27" s="11">
        <v>1.4441200984444791E-2</v>
      </c>
      <c r="AM27" s="19">
        <f t="shared" si="0"/>
        <v>1053.6826796268258</v>
      </c>
    </row>
    <row r="28" spans="1:39" x14ac:dyDescent="0.25">
      <c r="A28" s="4">
        <v>45658</v>
      </c>
      <c r="B28" s="25" t="s">
        <v>216</v>
      </c>
      <c r="C28" s="5" t="s">
        <v>38</v>
      </c>
      <c r="D28" s="6" t="s">
        <v>217</v>
      </c>
      <c r="E28" s="7" t="s">
        <v>40</v>
      </c>
      <c r="F28" s="8" t="s">
        <v>73</v>
      </c>
      <c r="G28" s="8" t="s">
        <v>42</v>
      </c>
      <c r="H28" s="8" t="s">
        <v>43</v>
      </c>
      <c r="I28" s="9">
        <v>45607</v>
      </c>
      <c r="J28" s="9">
        <v>45688</v>
      </c>
      <c r="K28" s="9">
        <v>45686</v>
      </c>
      <c r="L28" s="7" t="s">
        <v>44</v>
      </c>
      <c r="M28" s="7" t="s">
        <v>58</v>
      </c>
      <c r="N28" s="11" t="s">
        <v>46</v>
      </c>
      <c r="O28" s="12" t="s">
        <v>59</v>
      </c>
      <c r="P28" s="13">
        <v>-2</v>
      </c>
      <c r="Q28" s="14" t="s">
        <v>60</v>
      </c>
      <c r="R28" s="15" t="s">
        <v>83</v>
      </c>
      <c r="S28" s="15"/>
      <c r="T28" s="15" t="s">
        <v>116</v>
      </c>
      <c r="U28" s="16" t="s">
        <v>51</v>
      </c>
      <c r="V28" s="16" t="s">
        <v>51</v>
      </c>
      <c r="W28" s="16" t="s">
        <v>51</v>
      </c>
      <c r="X28" s="16" t="s">
        <v>50</v>
      </c>
      <c r="Y28" s="16" t="s">
        <v>50</v>
      </c>
      <c r="Z28" s="5" t="s">
        <v>61</v>
      </c>
      <c r="AA28" s="20"/>
      <c r="AB28" s="20"/>
      <c r="AC28" s="17">
        <v>842223.2080000001</v>
      </c>
      <c r="AD28" s="17">
        <v>986808.44</v>
      </c>
      <c r="AE28" s="17">
        <v>0</v>
      </c>
      <c r="AF28" s="17">
        <v>0</v>
      </c>
      <c r="AG28" s="17">
        <v>0</v>
      </c>
      <c r="AH28" s="18">
        <v>324.23</v>
      </c>
      <c r="AI28" s="11">
        <v>0</v>
      </c>
      <c r="AJ28" s="7" t="s">
        <v>54</v>
      </c>
      <c r="AK28" s="19">
        <v>144585.23199999984</v>
      </c>
      <c r="AL28" s="11">
        <v>0.17167091885694008</v>
      </c>
      <c r="AM28" s="19">
        <f t="shared" si="0"/>
        <v>3043.544520864818</v>
      </c>
    </row>
    <row r="29" spans="1:39" x14ac:dyDescent="0.25">
      <c r="A29" s="4">
        <v>45658</v>
      </c>
      <c r="B29" s="25" t="s">
        <v>214</v>
      </c>
      <c r="C29" s="5" t="s">
        <v>38</v>
      </c>
      <c r="D29" s="6" t="s">
        <v>215</v>
      </c>
      <c r="E29" s="7" t="s">
        <v>40</v>
      </c>
      <c r="F29" s="8" t="s">
        <v>192</v>
      </c>
      <c r="G29" s="8" t="s">
        <v>193</v>
      </c>
      <c r="H29" s="8" t="s">
        <v>66</v>
      </c>
      <c r="I29" s="9">
        <v>45573</v>
      </c>
      <c r="J29" s="9">
        <v>45663</v>
      </c>
      <c r="K29" s="9">
        <v>45663</v>
      </c>
      <c r="L29" s="7" t="s">
        <v>44</v>
      </c>
      <c r="M29" s="7" t="s">
        <v>58</v>
      </c>
      <c r="N29" s="11" t="s">
        <v>46</v>
      </c>
      <c r="O29" s="12" t="s">
        <v>59</v>
      </c>
      <c r="P29" s="13">
        <v>0</v>
      </c>
      <c r="Q29" s="14" t="s">
        <v>60</v>
      </c>
      <c r="R29" s="15" t="s">
        <v>46</v>
      </c>
      <c r="S29" s="15"/>
      <c r="T29" s="15" t="s">
        <v>116</v>
      </c>
      <c r="U29" s="16" t="s">
        <v>51</v>
      </c>
      <c r="V29" s="16" t="s">
        <v>51</v>
      </c>
      <c r="W29" s="16" t="s">
        <v>51</v>
      </c>
      <c r="X29" s="16" t="s">
        <v>50</v>
      </c>
      <c r="Y29" s="16" t="s">
        <v>50</v>
      </c>
      <c r="Z29" s="5" t="s">
        <v>68</v>
      </c>
      <c r="AA29" s="20"/>
      <c r="AB29" s="20"/>
      <c r="AC29" s="17">
        <v>1551372.1466000001</v>
      </c>
      <c r="AD29" s="17">
        <v>1491039.0700000003</v>
      </c>
      <c r="AE29" s="17">
        <v>0</v>
      </c>
      <c r="AF29" s="17">
        <v>0</v>
      </c>
      <c r="AG29" s="17">
        <v>0</v>
      </c>
      <c r="AH29" s="18">
        <v>953.81</v>
      </c>
      <c r="AI29" s="11">
        <v>0</v>
      </c>
      <c r="AJ29" s="7" t="s">
        <v>69</v>
      </c>
      <c r="AK29" s="19">
        <v>-60333.076599999797</v>
      </c>
      <c r="AL29" s="11">
        <v>-3.8890137825554172E-2</v>
      </c>
      <c r="AM29" s="19">
        <f t="shared" si="0"/>
        <v>1563.2453738165887</v>
      </c>
    </row>
    <row r="30" spans="1:39" x14ac:dyDescent="0.25">
      <c r="A30" s="4">
        <v>45689</v>
      </c>
      <c r="B30" s="25" t="s">
        <v>218</v>
      </c>
      <c r="C30" s="5" t="s">
        <v>38</v>
      </c>
      <c r="D30" s="6" t="s">
        <v>219</v>
      </c>
      <c r="E30" s="7" t="s">
        <v>40</v>
      </c>
      <c r="F30" s="8" t="s">
        <v>220</v>
      </c>
      <c r="G30" s="8" t="s">
        <v>42</v>
      </c>
      <c r="H30" s="8" t="s">
        <v>43</v>
      </c>
      <c r="I30" s="26">
        <v>45632</v>
      </c>
      <c r="J30" s="26">
        <v>45692</v>
      </c>
      <c r="K30" s="9">
        <v>45692</v>
      </c>
      <c r="L30" s="7" t="s">
        <v>44</v>
      </c>
      <c r="M30" s="7" t="s">
        <v>45</v>
      </c>
      <c r="N30" s="7" t="s">
        <v>83</v>
      </c>
      <c r="O30" s="12" t="s">
        <v>221</v>
      </c>
      <c r="P30" s="13">
        <v>0</v>
      </c>
      <c r="Q30" s="14" t="s">
        <v>60</v>
      </c>
      <c r="R30" s="15" t="s">
        <v>83</v>
      </c>
      <c r="S30" s="15"/>
      <c r="T30" s="15" t="s">
        <v>116</v>
      </c>
      <c r="U30" s="16" t="s">
        <v>51</v>
      </c>
      <c r="V30" s="16" t="s">
        <v>51</v>
      </c>
      <c r="W30" s="16" t="s">
        <v>51</v>
      </c>
      <c r="X30" s="16" t="s">
        <v>50</v>
      </c>
      <c r="Y30" s="16" t="s">
        <v>50</v>
      </c>
      <c r="Z30" s="5" t="s">
        <v>61</v>
      </c>
      <c r="AA30" s="20"/>
      <c r="AB30" s="20"/>
      <c r="AC30" s="17">
        <v>598247.46440000006</v>
      </c>
      <c r="AD30" s="17">
        <v>583732.40469999996</v>
      </c>
      <c r="AE30" s="17">
        <v>38903.56</v>
      </c>
      <c r="AF30" s="17">
        <v>0</v>
      </c>
      <c r="AG30" s="17">
        <v>0</v>
      </c>
      <c r="AH30" s="18">
        <v>371.2</v>
      </c>
      <c r="AI30" s="11">
        <v>6.6646222972654517E-2</v>
      </c>
      <c r="AJ30" s="7" t="s">
        <v>69</v>
      </c>
      <c r="AK30" s="19">
        <v>-14515.0597000001</v>
      </c>
      <c r="AL30" s="11">
        <v>-2.4262634718490106E-2</v>
      </c>
      <c r="AM30" s="19">
        <f t="shared" si="0"/>
        <v>1677.3598186961206</v>
      </c>
    </row>
    <row r="31" spans="1:39" x14ac:dyDescent="0.25">
      <c r="A31" s="4">
        <v>45689</v>
      </c>
      <c r="B31" s="25" t="s">
        <v>222</v>
      </c>
      <c r="C31" s="5" t="s">
        <v>38</v>
      </c>
      <c r="D31" s="6" t="s">
        <v>223</v>
      </c>
      <c r="E31" s="7" t="s">
        <v>40</v>
      </c>
      <c r="F31" s="8" t="s">
        <v>158</v>
      </c>
      <c r="G31" s="8" t="s">
        <v>42</v>
      </c>
      <c r="H31" s="8" t="s">
        <v>43</v>
      </c>
      <c r="I31" s="26">
        <v>45656</v>
      </c>
      <c r="J31" s="26">
        <v>45716</v>
      </c>
      <c r="K31" s="9">
        <v>45716</v>
      </c>
      <c r="L31" s="7" t="s">
        <v>44</v>
      </c>
      <c r="M31" s="7" t="s">
        <v>45</v>
      </c>
      <c r="N31" s="7" t="s">
        <v>81</v>
      </c>
      <c r="O31" s="12" t="s">
        <v>221</v>
      </c>
      <c r="P31" s="13">
        <v>0</v>
      </c>
      <c r="Q31" s="14" t="s">
        <v>60</v>
      </c>
      <c r="R31" s="15" t="s">
        <v>83</v>
      </c>
      <c r="S31" s="15"/>
      <c r="T31" s="15" t="s">
        <v>116</v>
      </c>
      <c r="U31" s="16" t="s">
        <v>51</v>
      </c>
      <c r="V31" s="16" t="s">
        <v>51</v>
      </c>
      <c r="W31" s="16" t="s">
        <v>51</v>
      </c>
      <c r="X31" s="16" t="s">
        <v>50</v>
      </c>
      <c r="Y31" s="16" t="s">
        <v>50</v>
      </c>
      <c r="Z31" s="5" t="s">
        <v>68</v>
      </c>
      <c r="AA31" s="20"/>
      <c r="AB31" s="20"/>
      <c r="AC31" s="17">
        <v>1160464.5663999999</v>
      </c>
      <c r="AD31" s="17">
        <v>1134264.99</v>
      </c>
      <c r="AE31" s="17">
        <v>0</v>
      </c>
      <c r="AF31" s="17">
        <v>0</v>
      </c>
      <c r="AG31" s="17">
        <v>0</v>
      </c>
      <c r="AH31" s="18">
        <v>735.67</v>
      </c>
      <c r="AI31" s="11">
        <v>0</v>
      </c>
      <c r="AJ31" s="7" t="s">
        <v>69</v>
      </c>
      <c r="AK31" s="19">
        <v>-26199.576399999904</v>
      </c>
      <c r="AL31" s="11">
        <v>-2.2576799980439155E-2</v>
      </c>
      <c r="AM31" s="19">
        <f t="shared" si="0"/>
        <v>1541.812211997227</v>
      </c>
    </row>
    <row r="32" spans="1:39" x14ac:dyDescent="0.25">
      <c r="A32" s="4">
        <v>45717</v>
      </c>
      <c r="B32" s="25" t="s">
        <v>233</v>
      </c>
      <c r="C32" s="5" t="s">
        <v>38</v>
      </c>
      <c r="D32" s="6" t="s">
        <v>234</v>
      </c>
      <c r="E32" s="7" t="s">
        <v>40</v>
      </c>
      <c r="F32" s="8" t="s">
        <v>235</v>
      </c>
      <c r="G32" s="8" t="s">
        <v>42</v>
      </c>
      <c r="H32" s="8" t="s">
        <v>43</v>
      </c>
      <c r="I32" s="9">
        <v>45633</v>
      </c>
      <c r="J32" s="9">
        <v>45746</v>
      </c>
      <c r="K32" s="9">
        <v>45746</v>
      </c>
      <c r="L32" s="7" t="s">
        <v>44</v>
      </c>
      <c r="M32" s="7" t="s">
        <v>45</v>
      </c>
      <c r="N32" s="7" t="s">
        <v>81</v>
      </c>
      <c r="O32" s="12" t="s">
        <v>228</v>
      </c>
      <c r="P32" s="13">
        <v>0</v>
      </c>
      <c r="Q32" s="14" t="s">
        <v>60</v>
      </c>
      <c r="R32" s="15" t="s">
        <v>83</v>
      </c>
      <c r="S32" s="15"/>
      <c r="T32" s="15" t="s">
        <v>116</v>
      </c>
      <c r="U32" s="16" t="s">
        <v>51</v>
      </c>
      <c r="V32" s="16" t="s">
        <v>51</v>
      </c>
      <c r="W32" s="16" t="s">
        <v>51</v>
      </c>
      <c r="X32" s="16" t="s">
        <v>50</v>
      </c>
      <c r="Y32" s="16" t="s">
        <v>50</v>
      </c>
      <c r="Z32" s="5" t="s">
        <v>61</v>
      </c>
      <c r="AA32" s="20"/>
      <c r="AB32" s="20"/>
      <c r="AC32" s="17">
        <v>1648661.1907999997</v>
      </c>
      <c r="AD32" s="17">
        <v>1523350.5008</v>
      </c>
      <c r="AE32" s="19">
        <v>0</v>
      </c>
      <c r="AF32" s="17">
        <v>0</v>
      </c>
      <c r="AG32" s="17">
        <v>0</v>
      </c>
      <c r="AH32" s="18">
        <v>680</v>
      </c>
      <c r="AI32" s="11">
        <v>0</v>
      </c>
      <c r="AJ32" s="7" t="s">
        <v>69</v>
      </c>
      <c r="AK32" s="19">
        <v>-125310.68999999971</v>
      </c>
      <c r="AL32" s="11">
        <v>-7.6007545212605887E-2</v>
      </c>
      <c r="AM32" s="19">
        <f t="shared" si="0"/>
        <v>2240.2213247058826</v>
      </c>
    </row>
    <row r="33" spans="1:39" x14ac:dyDescent="0.25">
      <c r="A33" s="4">
        <v>45717</v>
      </c>
      <c r="B33" s="25" t="s">
        <v>229</v>
      </c>
      <c r="C33" s="5" t="s">
        <v>38</v>
      </c>
      <c r="D33" s="6" t="s">
        <v>230</v>
      </c>
      <c r="E33" s="7" t="s">
        <v>40</v>
      </c>
      <c r="F33" s="8" t="s">
        <v>231</v>
      </c>
      <c r="G33" s="8" t="s">
        <v>232</v>
      </c>
      <c r="H33" s="8" t="s">
        <v>114</v>
      </c>
      <c r="I33" s="9">
        <v>45647</v>
      </c>
      <c r="J33" s="9">
        <v>45737</v>
      </c>
      <c r="K33" s="9">
        <v>45737</v>
      </c>
      <c r="L33" s="7" t="s">
        <v>44</v>
      </c>
      <c r="M33" s="7" t="s">
        <v>45</v>
      </c>
      <c r="N33" s="7" t="s">
        <v>81</v>
      </c>
      <c r="O33" s="12" t="s">
        <v>228</v>
      </c>
      <c r="P33" s="13">
        <v>0</v>
      </c>
      <c r="Q33" s="14" t="s">
        <v>60</v>
      </c>
      <c r="R33" s="15" t="s">
        <v>83</v>
      </c>
      <c r="S33" s="15"/>
      <c r="T33" s="15" t="s">
        <v>116</v>
      </c>
      <c r="U33" s="16" t="s">
        <v>51</v>
      </c>
      <c r="V33" s="16" t="s">
        <v>51</v>
      </c>
      <c r="W33" s="16" t="s">
        <v>51</v>
      </c>
      <c r="X33" s="16" t="s">
        <v>50</v>
      </c>
      <c r="Y33" s="16" t="s">
        <v>50</v>
      </c>
      <c r="Z33" s="5" t="s">
        <v>68</v>
      </c>
      <c r="AA33" s="20"/>
      <c r="AB33" s="20"/>
      <c r="AC33" s="17">
        <v>1847726.1060000001</v>
      </c>
      <c r="AD33" s="17">
        <v>1828221.8130000001</v>
      </c>
      <c r="AE33" s="19">
        <v>2577</v>
      </c>
      <c r="AF33" s="17">
        <v>0</v>
      </c>
      <c r="AG33" s="17">
        <v>0</v>
      </c>
      <c r="AH33" s="18">
        <v>849.19</v>
      </c>
      <c r="AI33" s="11">
        <v>1.4095663784753235E-3</v>
      </c>
      <c r="AJ33" s="7" t="s">
        <v>69</v>
      </c>
      <c r="AK33" s="19">
        <v>-19504.293000000063</v>
      </c>
      <c r="AL33" s="11">
        <v>-1.0555835595256857E-2</v>
      </c>
      <c r="AM33" s="19">
        <f t="shared" si="0"/>
        <v>2155.9354361214805</v>
      </c>
    </row>
    <row r="34" spans="1:39" x14ac:dyDescent="0.25">
      <c r="A34" s="4">
        <v>45717</v>
      </c>
      <c r="B34" s="25" t="s">
        <v>224</v>
      </c>
      <c r="C34" s="5" t="s">
        <v>38</v>
      </c>
      <c r="D34" s="6" t="s">
        <v>225</v>
      </c>
      <c r="E34" s="7" t="s">
        <v>40</v>
      </c>
      <c r="F34" s="8" t="s">
        <v>226</v>
      </c>
      <c r="G34" s="8" t="s">
        <v>227</v>
      </c>
      <c r="H34" s="8" t="s">
        <v>102</v>
      </c>
      <c r="I34" s="9">
        <v>45647</v>
      </c>
      <c r="J34" s="9">
        <v>45737</v>
      </c>
      <c r="K34" s="9">
        <v>45737</v>
      </c>
      <c r="L34" s="7" t="s">
        <v>44</v>
      </c>
      <c r="M34" s="7" t="s">
        <v>45</v>
      </c>
      <c r="N34" s="7" t="s">
        <v>81</v>
      </c>
      <c r="O34" s="12" t="s">
        <v>228</v>
      </c>
      <c r="P34" s="13">
        <v>0</v>
      </c>
      <c r="Q34" s="14" t="s">
        <v>60</v>
      </c>
      <c r="R34" s="15" t="s">
        <v>83</v>
      </c>
      <c r="S34" s="15"/>
      <c r="T34" s="15" t="s">
        <v>116</v>
      </c>
      <c r="U34" s="16" t="s">
        <v>51</v>
      </c>
      <c r="V34" s="16" t="s">
        <v>51</v>
      </c>
      <c r="W34" s="16" t="s">
        <v>51</v>
      </c>
      <c r="X34" s="16" t="s">
        <v>50</v>
      </c>
      <c r="Y34" s="16" t="s">
        <v>50</v>
      </c>
      <c r="Z34" s="5" t="s">
        <v>68</v>
      </c>
      <c r="AA34" s="20"/>
      <c r="AB34" s="20"/>
      <c r="AC34" s="17">
        <v>1955278.6264</v>
      </c>
      <c r="AD34" s="17">
        <v>1773987.7164</v>
      </c>
      <c r="AE34" s="19">
        <v>52577.69</v>
      </c>
      <c r="AF34" s="17"/>
      <c r="AG34" s="17">
        <v>0</v>
      </c>
      <c r="AH34" s="18">
        <v>902.65</v>
      </c>
      <c r="AI34" s="11">
        <v>2.9638136450401861E-2</v>
      </c>
      <c r="AJ34" s="7" t="s">
        <v>69</v>
      </c>
      <c r="AK34" s="19">
        <v>-181290.90999999992</v>
      </c>
      <c r="AL34" s="11">
        <v>-9.2718709012734046E-2</v>
      </c>
      <c r="AM34" s="19">
        <f t="shared" si="0"/>
        <v>2023.5588615742536</v>
      </c>
    </row>
    <row r="35" spans="1:39" x14ac:dyDescent="0.25">
      <c r="A35" s="4">
        <v>45809</v>
      </c>
      <c r="B35" s="25" t="s">
        <v>240</v>
      </c>
      <c r="C35" s="5" t="s">
        <v>38</v>
      </c>
      <c r="D35" s="6" t="s">
        <v>241</v>
      </c>
      <c r="E35" s="7" t="s">
        <v>40</v>
      </c>
      <c r="F35" s="8" t="s">
        <v>57</v>
      </c>
      <c r="G35" s="8" t="s">
        <v>42</v>
      </c>
      <c r="H35" s="8" t="s">
        <v>43</v>
      </c>
      <c r="I35" s="9">
        <v>45778</v>
      </c>
      <c r="J35" s="9">
        <v>45838</v>
      </c>
      <c r="K35" s="9">
        <v>45838</v>
      </c>
      <c r="L35" s="7" t="s">
        <v>44</v>
      </c>
      <c r="M35" s="7" t="s">
        <v>58</v>
      </c>
      <c r="N35" s="11" t="s">
        <v>83</v>
      </c>
      <c r="O35" s="12" t="s">
        <v>70</v>
      </c>
      <c r="P35" s="13">
        <v>0</v>
      </c>
      <c r="Q35" s="14" t="s">
        <v>60</v>
      </c>
      <c r="R35" s="15" t="s">
        <v>83</v>
      </c>
      <c r="S35" s="15"/>
      <c r="T35" s="15" t="s">
        <v>116</v>
      </c>
      <c r="U35" s="16" t="s">
        <v>51</v>
      </c>
      <c r="V35" s="16" t="s">
        <v>51</v>
      </c>
      <c r="W35" s="16" t="s">
        <v>51</v>
      </c>
      <c r="X35" s="16" t="s">
        <v>50</v>
      </c>
      <c r="Y35" s="16" t="s">
        <v>50</v>
      </c>
      <c r="Z35" s="5" t="s">
        <v>61</v>
      </c>
      <c r="AA35" s="5"/>
      <c r="AB35" s="5"/>
      <c r="AC35" s="17">
        <v>877732.58130000019</v>
      </c>
      <c r="AD35" s="17">
        <v>856359.6100000001</v>
      </c>
      <c r="AE35" s="17">
        <v>0</v>
      </c>
      <c r="AF35" s="17">
        <v>0</v>
      </c>
      <c r="AG35" s="17">
        <v>0</v>
      </c>
      <c r="AH35" s="18">
        <v>413.24</v>
      </c>
      <c r="AI35" s="11">
        <v>0</v>
      </c>
      <c r="AJ35" s="7" t="s">
        <v>69</v>
      </c>
      <c r="AK35" s="19">
        <v>-21372.971300000092</v>
      </c>
      <c r="AL35" s="11">
        <v>-2.4350208429479547E-2</v>
      </c>
      <c r="AM35" s="19">
        <f t="shared" si="0"/>
        <v>2072.3057061271902</v>
      </c>
    </row>
    <row r="36" spans="1:39" x14ac:dyDescent="0.25">
      <c r="A36" s="4">
        <v>45809</v>
      </c>
      <c r="B36" s="25" t="s">
        <v>238</v>
      </c>
      <c r="C36" s="5" t="s">
        <v>38</v>
      </c>
      <c r="D36" s="6" t="s">
        <v>239</v>
      </c>
      <c r="E36" s="7" t="s">
        <v>40</v>
      </c>
      <c r="F36" s="8" t="s">
        <v>57</v>
      </c>
      <c r="G36" s="8" t="s">
        <v>42</v>
      </c>
      <c r="H36" s="8" t="s">
        <v>43</v>
      </c>
      <c r="I36" s="9">
        <v>45778</v>
      </c>
      <c r="J36" s="9">
        <v>45838</v>
      </c>
      <c r="K36" s="9">
        <v>45838</v>
      </c>
      <c r="L36" s="7" t="s">
        <v>44</v>
      </c>
      <c r="M36" s="7" t="s">
        <v>58</v>
      </c>
      <c r="N36" s="11" t="s">
        <v>83</v>
      </c>
      <c r="O36" s="12" t="s">
        <v>70</v>
      </c>
      <c r="P36" s="13">
        <v>0</v>
      </c>
      <c r="Q36" s="14" t="s">
        <v>60</v>
      </c>
      <c r="R36" s="15" t="s">
        <v>83</v>
      </c>
      <c r="S36" s="15"/>
      <c r="T36" s="15" t="s">
        <v>116</v>
      </c>
      <c r="U36" s="16" t="s">
        <v>51</v>
      </c>
      <c r="V36" s="16" t="s">
        <v>51</v>
      </c>
      <c r="W36" s="16" t="s">
        <v>51</v>
      </c>
      <c r="X36" s="16" t="s">
        <v>50</v>
      </c>
      <c r="Y36" s="16" t="s">
        <v>50</v>
      </c>
      <c r="Z36" s="5" t="s">
        <v>61</v>
      </c>
      <c r="AA36" s="5"/>
      <c r="AB36" s="5"/>
      <c r="AC36" s="17">
        <v>581593.97470000002</v>
      </c>
      <c r="AD36" s="17">
        <v>578747.11589999998</v>
      </c>
      <c r="AE36" s="17">
        <v>0</v>
      </c>
      <c r="AF36" s="17">
        <v>0</v>
      </c>
      <c r="AG36" s="17">
        <v>0</v>
      </c>
      <c r="AH36" s="18">
        <v>338.21</v>
      </c>
      <c r="AI36" s="11">
        <v>0</v>
      </c>
      <c r="AJ36" s="7" t="s">
        <v>69</v>
      </c>
      <c r="AK36" s="19">
        <v>-2846.8588000000454</v>
      </c>
      <c r="AL36" s="11">
        <v>-4.8949248510845589E-3</v>
      </c>
      <c r="AM36" s="19">
        <f t="shared" si="0"/>
        <v>1711.2063980958576</v>
      </c>
    </row>
    <row r="37" spans="1:39" x14ac:dyDescent="0.25">
      <c r="A37" s="4">
        <v>45809</v>
      </c>
      <c r="B37" s="25" t="s">
        <v>242</v>
      </c>
      <c r="C37" s="5" t="s">
        <v>38</v>
      </c>
      <c r="D37" s="6" t="s">
        <v>243</v>
      </c>
      <c r="E37" s="7" t="s">
        <v>40</v>
      </c>
      <c r="F37" s="8" t="s">
        <v>57</v>
      </c>
      <c r="G37" s="8" t="s">
        <v>42</v>
      </c>
      <c r="H37" s="8" t="s">
        <v>43</v>
      </c>
      <c r="I37" s="9">
        <v>45776</v>
      </c>
      <c r="J37" s="9">
        <v>45836</v>
      </c>
      <c r="K37" s="9">
        <v>45836</v>
      </c>
      <c r="L37" s="7" t="s">
        <v>44</v>
      </c>
      <c r="M37" s="7" t="s">
        <v>58</v>
      </c>
      <c r="N37" s="11" t="s">
        <v>83</v>
      </c>
      <c r="O37" s="12" t="s">
        <v>70</v>
      </c>
      <c r="P37" s="13">
        <v>0</v>
      </c>
      <c r="Q37" s="14" t="s">
        <v>60</v>
      </c>
      <c r="R37" s="15" t="s">
        <v>83</v>
      </c>
      <c r="S37" s="15"/>
      <c r="T37" s="15" t="s">
        <v>116</v>
      </c>
      <c r="U37" s="16" t="s">
        <v>51</v>
      </c>
      <c r="V37" s="16" t="s">
        <v>51</v>
      </c>
      <c r="W37" s="16" t="s">
        <v>51</v>
      </c>
      <c r="X37" s="16" t="s">
        <v>50</v>
      </c>
      <c r="Y37" s="16" t="s">
        <v>50</v>
      </c>
      <c r="Z37" s="5" t="s">
        <v>61</v>
      </c>
      <c r="AA37" s="5"/>
      <c r="AB37" s="5"/>
      <c r="AC37" s="17">
        <v>321242.88920000003</v>
      </c>
      <c r="AD37" s="17">
        <v>290872.51120000001</v>
      </c>
      <c r="AE37" s="17">
        <v>0</v>
      </c>
      <c r="AF37" s="17">
        <v>0</v>
      </c>
      <c r="AG37" s="17">
        <v>0</v>
      </c>
      <c r="AH37" s="18">
        <v>170.37</v>
      </c>
      <c r="AI37" s="11">
        <v>0</v>
      </c>
      <c r="AJ37" s="7" t="s">
        <v>69</v>
      </c>
      <c r="AK37" s="19">
        <v>-30370.378000000026</v>
      </c>
      <c r="AL37" s="11">
        <v>-9.4540234262094347E-2</v>
      </c>
      <c r="AM37" s="19">
        <f t="shared" si="0"/>
        <v>1707.2988859540999</v>
      </c>
    </row>
    <row r="38" spans="1:39" x14ac:dyDescent="0.25">
      <c r="A38" s="4">
        <v>45809</v>
      </c>
      <c r="B38" s="25" t="s">
        <v>244</v>
      </c>
      <c r="C38" s="5" t="s">
        <v>38</v>
      </c>
      <c r="D38" s="6" t="s">
        <v>245</v>
      </c>
      <c r="E38" s="7" t="s">
        <v>40</v>
      </c>
      <c r="F38" s="8" t="s">
        <v>57</v>
      </c>
      <c r="G38" s="8" t="s">
        <v>42</v>
      </c>
      <c r="H38" s="8" t="s">
        <v>43</v>
      </c>
      <c r="I38" s="9">
        <v>45778</v>
      </c>
      <c r="J38" s="9">
        <v>45838</v>
      </c>
      <c r="K38" s="9">
        <v>45838</v>
      </c>
      <c r="L38" s="7" t="s">
        <v>44</v>
      </c>
      <c r="M38" s="7" t="s">
        <v>58</v>
      </c>
      <c r="N38" s="11" t="s">
        <v>83</v>
      </c>
      <c r="O38" s="12" t="s">
        <v>70</v>
      </c>
      <c r="P38" s="13">
        <v>0</v>
      </c>
      <c r="Q38" s="14" t="s">
        <v>60</v>
      </c>
      <c r="R38" s="15" t="s">
        <v>83</v>
      </c>
      <c r="S38" s="15"/>
      <c r="T38" s="15" t="s">
        <v>116</v>
      </c>
      <c r="U38" s="16" t="s">
        <v>51</v>
      </c>
      <c r="V38" s="16" t="s">
        <v>51</v>
      </c>
      <c r="W38" s="16" t="s">
        <v>51</v>
      </c>
      <c r="X38" s="16" t="s">
        <v>50</v>
      </c>
      <c r="Y38" s="16" t="s">
        <v>50</v>
      </c>
      <c r="Z38" s="5" t="s">
        <v>61</v>
      </c>
      <c r="AA38" s="5"/>
      <c r="AB38" s="5"/>
      <c r="AC38" s="17">
        <v>627705.16</v>
      </c>
      <c r="AD38" s="17">
        <v>609063.86</v>
      </c>
      <c r="AE38" s="17">
        <v>0</v>
      </c>
      <c r="AF38" s="17">
        <v>0</v>
      </c>
      <c r="AG38" s="17">
        <v>0</v>
      </c>
      <c r="AH38" s="18">
        <v>412</v>
      </c>
      <c r="AI38" s="11">
        <v>0</v>
      </c>
      <c r="AJ38" s="7" t="s">
        <v>69</v>
      </c>
      <c r="AK38" s="19">
        <v>-18641.300000000047</v>
      </c>
      <c r="AL38" s="11">
        <v>-2.9697541438085451E-2</v>
      </c>
      <c r="AM38" s="19">
        <f t="shared" si="0"/>
        <v>1478.3103398058252</v>
      </c>
    </row>
    <row r="39" spans="1:39" x14ac:dyDescent="0.25">
      <c r="A39" s="4">
        <v>45809</v>
      </c>
      <c r="B39" s="25" t="s">
        <v>236</v>
      </c>
      <c r="C39" s="5" t="s">
        <v>38</v>
      </c>
      <c r="D39" s="6" t="s">
        <v>237</v>
      </c>
      <c r="E39" s="7" t="s">
        <v>40</v>
      </c>
      <c r="F39" s="8" t="s">
        <v>57</v>
      </c>
      <c r="G39" s="8" t="s">
        <v>42</v>
      </c>
      <c r="H39" s="8" t="s">
        <v>43</v>
      </c>
      <c r="I39" s="9">
        <v>45778</v>
      </c>
      <c r="J39" s="9">
        <v>45838</v>
      </c>
      <c r="K39" s="9">
        <v>45838</v>
      </c>
      <c r="L39" s="7" t="s">
        <v>44</v>
      </c>
      <c r="M39" s="7" t="s">
        <v>58</v>
      </c>
      <c r="N39" s="11" t="s">
        <v>83</v>
      </c>
      <c r="O39" s="12" t="s">
        <v>70</v>
      </c>
      <c r="P39" s="13">
        <v>0</v>
      </c>
      <c r="Q39" s="14" t="s">
        <v>60</v>
      </c>
      <c r="R39" s="15" t="s">
        <v>83</v>
      </c>
      <c r="S39" s="15"/>
      <c r="T39" s="15" t="s">
        <v>116</v>
      </c>
      <c r="U39" s="16" t="s">
        <v>51</v>
      </c>
      <c r="V39" s="16" t="s">
        <v>51</v>
      </c>
      <c r="W39" s="16" t="s">
        <v>51</v>
      </c>
      <c r="X39" s="16" t="s">
        <v>50</v>
      </c>
      <c r="Y39" s="16" t="s">
        <v>50</v>
      </c>
      <c r="Z39" s="5" t="s">
        <v>61</v>
      </c>
      <c r="AA39" s="5"/>
      <c r="AB39" s="5"/>
      <c r="AC39" s="17">
        <v>511489.3053999999</v>
      </c>
      <c r="AD39" s="17">
        <v>490280.22</v>
      </c>
      <c r="AE39" s="17">
        <v>0</v>
      </c>
      <c r="AF39" s="17">
        <v>0</v>
      </c>
      <c r="AG39" s="17">
        <v>0</v>
      </c>
      <c r="AH39" s="18">
        <v>405.56</v>
      </c>
      <c r="AI39" s="11">
        <v>0</v>
      </c>
      <c r="AJ39" s="7" t="s">
        <v>69</v>
      </c>
      <c r="AK39" s="19">
        <v>-21209.085399999924</v>
      </c>
      <c r="AL39" s="11">
        <v>-4.146535455597411E-2</v>
      </c>
      <c r="AM39" s="19">
        <f t="shared" si="0"/>
        <v>1208.8968833218266</v>
      </c>
    </row>
    <row r="40" spans="1:39" x14ac:dyDescent="0.25">
      <c r="A40" s="4">
        <v>45839</v>
      </c>
      <c r="B40" s="25" t="s">
        <v>249</v>
      </c>
      <c r="C40" s="5" t="s">
        <v>38</v>
      </c>
      <c r="D40" s="6" t="s">
        <v>250</v>
      </c>
      <c r="E40" s="7" t="s">
        <v>40</v>
      </c>
      <c r="F40" s="8" t="s">
        <v>57</v>
      </c>
      <c r="G40" s="8" t="s">
        <v>42</v>
      </c>
      <c r="H40" s="8" t="s">
        <v>43</v>
      </c>
      <c r="I40" s="9">
        <v>45732</v>
      </c>
      <c r="J40" s="9">
        <v>45853</v>
      </c>
      <c r="K40" s="9">
        <v>45853</v>
      </c>
      <c r="L40" s="7" t="s">
        <v>44</v>
      </c>
      <c r="M40" s="7" t="s">
        <v>173</v>
      </c>
      <c r="N40" s="11" t="s">
        <v>46</v>
      </c>
      <c r="O40" s="12" t="s">
        <v>248</v>
      </c>
      <c r="P40" s="13">
        <v>0</v>
      </c>
      <c r="Q40" s="14" t="s">
        <v>60</v>
      </c>
      <c r="R40" s="15" t="s">
        <v>46</v>
      </c>
      <c r="S40" s="15"/>
      <c r="T40" s="15" t="s">
        <v>116</v>
      </c>
      <c r="U40" s="16" t="s">
        <v>51</v>
      </c>
      <c r="V40" s="16" t="s">
        <v>51</v>
      </c>
      <c r="W40" s="16" t="s">
        <v>51</v>
      </c>
      <c r="X40" s="16" t="s">
        <v>50</v>
      </c>
      <c r="Y40" s="16" t="s">
        <v>50</v>
      </c>
      <c r="Z40" s="5" t="s">
        <v>61</v>
      </c>
      <c r="AA40" s="5"/>
      <c r="AB40" s="5"/>
      <c r="AC40" s="17">
        <v>571785.09</v>
      </c>
      <c r="AD40" s="17">
        <v>599285.32000000007</v>
      </c>
      <c r="AE40" s="17">
        <v>72139.460000000006</v>
      </c>
      <c r="AF40" s="17">
        <v>0</v>
      </c>
      <c r="AG40" s="17">
        <v>0</v>
      </c>
      <c r="AH40" s="18">
        <v>193</v>
      </c>
      <c r="AI40" s="11">
        <v>0.1203758169814672</v>
      </c>
      <c r="AJ40" s="7" t="s">
        <v>54</v>
      </c>
      <c r="AK40" s="19">
        <v>27500.230000000098</v>
      </c>
      <c r="AL40" s="11">
        <v>4.8095395422080855E-2</v>
      </c>
      <c r="AM40" s="19">
        <f t="shared" si="0"/>
        <v>3478.8848704663214</v>
      </c>
    </row>
    <row r="41" spans="1:39" x14ac:dyDescent="0.25">
      <c r="A41" s="4">
        <v>45839</v>
      </c>
      <c r="B41" s="25" t="s">
        <v>251</v>
      </c>
      <c r="C41" s="5" t="s">
        <v>38</v>
      </c>
      <c r="D41" s="6" t="s">
        <v>252</v>
      </c>
      <c r="E41" s="7" t="s">
        <v>40</v>
      </c>
      <c r="F41" s="8" t="s">
        <v>57</v>
      </c>
      <c r="G41" s="8" t="s">
        <v>42</v>
      </c>
      <c r="H41" s="8" t="s">
        <v>43</v>
      </c>
      <c r="I41" s="9">
        <v>45697</v>
      </c>
      <c r="J41" s="9">
        <v>45868</v>
      </c>
      <c r="K41" s="9">
        <v>45868</v>
      </c>
      <c r="L41" s="7" t="s">
        <v>44</v>
      </c>
      <c r="M41" s="7" t="s">
        <v>45</v>
      </c>
      <c r="N41" s="11" t="s">
        <v>83</v>
      </c>
      <c r="O41" s="12" t="s">
        <v>248</v>
      </c>
      <c r="P41" s="13">
        <v>0</v>
      </c>
      <c r="Q41" s="14" t="s">
        <v>60</v>
      </c>
      <c r="R41" s="15" t="s">
        <v>83</v>
      </c>
      <c r="S41" s="15"/>
      <c r="T41" s="15" t="s">
        <v>116</v>
      </c>
      <c r="U41" s="16" t="s">
        <v>51</v>
      </c>
      <c r="V41" s="16" t="s">
        <v>51</v>
      </c>
      <c r="W41" s="16" t="s">
        <v>51</v>
      </c>
      <c r="X41" s="16" t="s">
        <v>50</v>
      </c>
      <c r="Y41" s="16" t="s">
        <v>50</v>
      </c>
      <c r="Z41" s="5" t="s">
        <v>61</v>
      </c>
      <c r="AA41" s="5"/>
      <c r="AB41" s="5" t="s">
        <v>253</v>
      </c>
      <c r="AC41" s="17">
        <v>13144725.809201472</v>
      </c>
      <c r="AD41" s="17">
        <v>13731062.009799998</v>
      </c>
      <c r="AE41" s="17">
        <v>93827.44</v>
      </c>
      <c r="AF41" s="17">
        <v>0</v>
      </c>
      <c r="AG41" s="17">
        <v>0</v>
      </c>
      <c r="AH41" s="18">
        <v>4895.49</v>
      </c>
      <c r="AI41" s="11">
        <v>6.8332252766052917E-3</v>
      </c>
      <c r="AJ41" s="7" t="s">
        <v>54</v>
      </c>
      <c r="AK41" s="19">
        <v>586336.20059852675</v>
      </c>
      <c r="AL41" s="11">
        <v>4.4606194842655711E-2</v>
      </c>
      <c r="AM41" s="19">
        <f t="shared" si="0"/>
        <v>2824.0052476463029</v>
      </c>
    </row>
    <row r="42" spans="1:39" x14ac:dyDescent="0.25">
      <c r="A42" s="4">
        <v>45839</v>
      </c>
      <c r="B42" s="25" t="s">
        <v>246</v>
      </c>
      <c r="C42" s="5" t="s">
        <v>38</v>
      </c>
      <c r="D42" s="6" t="s">
        <v>247</v>
      </c>
      <c r="E42" s="7" t="s">
        <v>40</v>
      </c>
      <c r="F42" s="8" t="s">
        <v>57</v>
      </c>
      <c r="G42" s="8" t="s">
        <v>42</v>
      </c>
      <c r="H42" s="8" t="s">
        <v>43</v>
      </c>
      <c r="I42" s="9">
        <v>45749</v>
      </c>
      <c r="J42" s="9">
        <v>45849</v>
      </c>
      <c r="K42" s="9">
        <v>45849</v>
      </c>
      <c r="L42" s="7" t="s">
        <v>44</v>
      </c>
      <c r="M42" s="7" t="s">
        <v>45</v>
      </c>
      <c r="N42" s="11" t="s">
        <v>83</v>
      </c>
      <c r="O42" s="12" t="s">
        <v>248</v>
      </c>
      <c r="P42" s="13">
        <v>0</v>
      </c>
      <c r="Q42" s="14" t="s">
        <v>60</v>
      </c>
      <c r="R42" s="15" t="s">
        <v>83</v>
      </c>
      <c r="S42" s="15"/>
      <c r="T42" s="15" t="s">
        <v>116</v>
      </c>
      <c r="U42" s="16" t="s">
        <v>51</v>
      </c>
      <c r="V42" s="16" t="s">
        <v>51</v>
      </c>
      <c r="W42" s="16" t="s">
        <v>51</v>
      </c>
      <c r="X42" s="16" t="s">
        <v>50</v>
      </c>
      <c r="Y42" s="16" t="s">
        <v>50</v>
      </c>
      <c r="Z42" s="5" t="s">
        <v>61</v>
      </c>
      <c r="AA42" s="5"/>
      <c r="AB42" s="5"/>
      <c r="AC42" s="17">
        <v>1699002.4618348882</v>
      </c>
      <c r="AD42" s="17">
        <v>1607794.7100000002</v>
      </c>
      <c r="AE42" s="17">
        <v>36097.07</v>
      </c>
      <c r="AF42" s="17">
        <v>0</v>
      </c>
      <c r="AG42" s="17">
        <v>0</v>
      </c>
      <c r="AH42" s="18">
        <v>1096.73</v>
      </c>
      <c r="AI42" s="11">
        <v>2.2451292926570207E-2</v>
      </c>
      <c r="AJ42" s="7" t="s">
        <v>69</v>
      </c>
      <c r="AK42" s="19">
        <v>-91207.751834888011</v>
      </c>
      <c r="AL42" s="11">
        <v>-5.36831192912961E-2</v>
      </c>
      <c r="AM42" s="19">
        <f t="shared" si="0"/>
        <v>1498.9029022640032</v>
      </c>
    </row>
    <row r="43" spans="1:39" x14ac:dyDescent="0.25">
      <c r="A43" s="4">
        <v>45870</v>
      </c>
      <c r="B43" s="25" t="s">
        <v>254</v>
      </c>
      <c r="C43" s="5" t="s">
        <v>38</v>
      </c>
      <c r="D43" s="6" t="s">
        <v>255</v>
      </c>
      <c r="E43" s="7" t="s">
        <v>40</v>
      </c>
      <c r="F43" s="8" t="s">
        <v>57</v>
      </c>
      <c r="G43" s="8" t="s">
        <v>42</v>
      </c>
      <c r="H43" s="8" t="s">
        <v>43</v>
      </c>
      <c r="I43" s="9">
        <v>45819</v>
      </c>
      <c r="J43" s="9">
        <v>45879</v>
      </c>
      <c r="K43" s="9">
        <v>45879</v>
      </c>
      <c r="L43" s="7" t="s">
        <v>44</v>
      </c>
      <c r="M43" s="7" t="s">
        <v>58</v>
      </c>
      <c r="N43" s="11" t="s">
        <v>83</v>
      </c>
      <c r="O43" s="12" t="s">
        <v>256</v>
      </c>
      <c r="P43" s="13">
        <v>0</v>
      </c>
      <c r="Q43" s="14" t="s">
        <v>60</v>
      </c>
      <c r="R43" s="15" t="s">
        <v>83</v>
      </c>
      <c r="S43" s="15"/>
      <c r="T43" s="15" t="s">
        <v>116</v>
      </c>
      <c r="U43" s="16" t="s">
        <v>51</v>
      </c>
      <c r="V43" s="16" t="s">
        <v>51</v>
      </c>
      <c r="W43" s="16" t="s">
        <v>51</v>
      </c>
      <c r="X43" s="16" t="s">
        <v>50</v>
      </c>
      <c r="Y43" s="16" t="s">
        <v>50</v>
      </c>
      <c r="Z43" s="5" t="s">
        <v>61</v>
      </c>
      <c r="AA43" s="5"/>
      <c r="AB43" s="5"/>
      <c r="AC43" s="17">
        <v>895368.66759999993</v>
      </c>
      <c r="AD43" s="17">
        <v>860783.43</v>
      </c>
      <c r="AE43" s="17">
        <v>0</v>
      </c>
      <c r="AF43" s="17">
        <v>0</v>
      </c>
      <c r="AG43" s="17">
        <v>0</v>
      </c>
      <c r="AH43" s="18">
        <v>421.64</v>
      </c>
      <c r="AI43" s="11">
        <v>0</v>
      </c>
      <c r="AJ43" s="7" t="s">
        <v>69</v>
      </c>
      <c r="AK43" s="19">
        <v>-34585.237599999877</v>
      </c>
      <c r="AL43" s="11">
        <v>-3.862681245335986E-2</v>
      </c>
      <c r="AM43" s="19">
        <f t="shared" si="0"/>
        <v>2041.5127359833034</v>
      </c>
    </row>
    <row r="44" spans="1:39" x14ac:dyDescent="0.25">
      <c r="A44" s="4">
        <v>45901</v>
      </c>
      <c r="B44" s="25" t="s">
        <v>257</v>
      </c>
      <c r="C44" s="5" t="s">
        <v>38</v>
      </c>
      <c r="D44" s="6" t="s">
        <v>258</v>
      </c>
      <c r="E44" s="7" t="s">
        <v>40</v>
      </c>
      <c r="F44" s="8" t="s">
        <v>192</v>
      </c>
      <c r="G44" s="8" t="s">
        <v>193</v>
      </c>
      <c r="H44" s="8" t="s">
        <v>66</v>
      </c>
      <c r="I44" s="9">
        <v>45855</v>
      </c>
      <c r="J44" s="9">
        <v>45915</v>
      </c>
      <c r="K44" s="9">
        <v>45915</v>
      </c>
      <c r="L44" s="7" t="s">
        <v>44</v>
      </c>
      <c r="M44" s="7" t="s">
        <v>259</v>
      </c>
      <c r="N44" s="11" t="s">
        <v>83</v>
      </c>
      <c r="O44" s="12" t="s">
        <v>260</v>
      </c>
      <c r="P44" s="13">
        <v>0</v>
      </c>
      <c r="Q44" s="14" t="s">
        <v>60</v>
      </c>
      <c r="R44" s="15" t="s">
        <v>83</v>
      </c>
      <c r="S44" s="15"/>
      <c r="T44" s="15" t="s">
        <v>116</v>
      </c>
      <c r="U44" s="16" t="s">
        <v>51</v>
      </c>
      <c r="V44" s="16" t="s">
        <v>51</v>
      </c>
      <c r="W44" s="16" t="s">
        <v>51</v>
      </c>
      <c r="X44" s="16" t="s">
        <v>50</v>
      </c>
      <c r="Y44" s="16" t="s">
        <v>50</v>
      </c>
      <c r="Z44" s="5" t="s">
        <v>52</v>
      </c>
      <c r="AA44" s="5"/>
      <c r="AB44" s="5"/>
      <c r="AC44" s="17">
        <v>614189.62449999992</v>
      </c>
      <c r="AD44" s="17">
        <v>634005.24</v>
      </c>
      <c r="AE44" s="17">
        <v>0</v>
      </c>
      <c r="AF44" s="17">
        <v>0</v>
      </c>
      <c r="AG44" s="17">
        <v>0</v>
      </c>
      <c r="AH44" s="18">
        <v>235</v>
      </c>
      <c r="AI44" s="11">
        <v>0</v>
      </c>
      <c r="AJ44" s="7" t="s">
        <v>54</v>
      </c>
      <c r="AK44" s="19">
        <v>19815.615500000073</v>
      </c>
      <c r="AL44" s="11">
        <v>3.2263025472192952E-2</v>
      </c>
      <c r="AM44" s="19">
        <f t="shared" si="0"/>
        <v>2697.8946382978725</v>
      </c>
    </row>
    <row r="45" spans="1:39" x14ac:dyDescent="0.25">
      <c r="A45" s="4">
        <v>45931</v>
      </c>
      <c r="B45" s="25" t="s">
        <v>261</v>
      </c>
      <c r="C45" s="5" t="s">
        <v>38</v>
      </c>
      <c r="D45" s="6" t="s">
        <v>262</v>
      </c>
      <c r="E45" s="7" t="s">
        <v>40</v>
      </c>
      <c r="F45" s="8" t="s">
        <v>57</v>
      </c>
      <c r="G45" s="8" t="s">
        <v>42</v>
      </c>
      <c r="H45" s="8" t="s">
        <v>43</v>
      </c>
      <c r="I45" s="9">
        <v>45884</v>
      </c>
      <c r="J45" s="9">
        <v>45950</v>
      </c>
      <c r="K45" s="9">
        <v>45961</v>
      </c>
      <c r="L45" s="7" t="s">
        <v>44</v>
      </c>
      <c r="M45" s="7" t="s">
        <v>259</v>
      </c>
      <c r="N45" s="11" t="s">
        <v>83</v>
      </c>
      <c r="O45" s="12" t="s">
        <v>263</v>
      </c>
      <c r="P45" s="13">
        <v>11</v>
      </c>
      <c r="Q45" s="14" t="s">
        <v>60</v>
      </c>
      <c r="R45" s="15" t="s">
        <v>83</v>
      </c>
      <c r="S45" s="15"/>
      <c r="T45" s="15" t="s">
        <v>116</v>
      </c>
      <c r="U45" s="16" t="s">
        <v>51</v>
      </c>
      <c r="V45" s="28" t="s">
        <v>51</v>
      </c>
      <c r="W45" s="16" t="s">
        <v>51</v>
      </c>
      <c r="X45" s="16" t="s">
        <v>50</v>
      </c>
      <c r="Y45" s="16" t="s">
        <v>51</v>
      </c>
      <c r="Z45" s="5" t="s">
        <v>61</v>
      </c>
      <c r="AA45" s="5"/>
      <c r="AB45" s="5"/>
      <c r="AC45" s="17">
        <v>6636826.7808999997</v>
      </c>
      <c r="AD45" s="17">
        <v>7481023.7800000003</v>
      </c>
      <c r="AE45" s="17">
        <v>73049.2</v>
      </c>
      <c r="AF45" s="17">
        <v>0</v>
      </c>
      <c r="AG45" s="17">
        <v>0</v>
      </c>
      <c r="AH45" s="18">
        <v>2454.5</v>
      </c>
      <c r="AI45" s="11">
        <v>9.764599358084115E-3</v>
      </c>
      <c r="AJ45" s="7" t="s">
        <v>54</v>
      </c>
      <c r="AK45" s="19">
        <v>844196.9991000006</v>
      </c>
      <c r="AL45" s="11">
        <v>0.12719888991671424</v>
      </c>
      <c r="AM45" s="19">
        <f t="shared" si="0"/>
        <v>3077.642281523732</v>
      </c>
    </row>
    <row r="46" spans="1:39" x14ac:dyDescent="0.25">
      <c r="A46" s="4">
        <v>45931</v>
      </c>
      <c r="B46" s="25" t="s">
        <v>267</v>
      </c>
      <c r="C46" s="5" t="s">
        <v>38</v>
      </c>
      <c r="D46" s="6" t="s">
        <v>268</v>
      </c>
      <c r="E46" s="7" t="s">
        <v>40</v>
      </c>
      <c r="F46" s="8" t="s">
        <v>100</v>
      </c>
      <c r="G46" s="8" t="s">
        <v>101</v>
      </c>
      <c r="H46" s="8" t="s">
        <v>102</v>
      </c>
      <c r="I46" s="9">
        <v>45873</v>
      </c>
      <c r="J46" s="9">
        <v>45953</v>
      </c>
      <c r="K46" s="9">
        <v>45953</v>
      </c>
      <c r="L46" s="7" t="s">
        <v>44</v>
      </c>
      <c r="M46" s="7" t="s">
        <v>259</v>
      </c>
      <c r="N46" s="11" t="s">
        <v>83</v>
      </c>
      <c r="O46" s="12" t="s">
        <v>263</v>
      </c>
      <c r="P46" s="13">
        <v>0</v>
      </c>
      <c r="Q46" s="14" t="s">
        <v>60</v>
      </c>
      <c r="R46" s="15" t="s">
        <v>83</v>
      </c>
      <c r="S46" s="15"/>
      <c r="T46" s="15" t="s">
        <v>116</v>
      </c>
      <c r="U46" s="16" t="s">
        <v>51</v>
      </c>
      <c r="V46" s="28" t="s">
        <v>51</v>
      </c>
      <c r="W46" s="16" t="s">
        <v>51</v>
      </c>
      <c r="X46" s="16" t="s">
        <v>50</v>
      </c>
      <c r="Y46" s="16" t="s">
        <v>50</v>
      </c>
      <c r="Z46" s="5" t="s">
        <v>68</v>
      </c>
      <c r="AA46" s="5"/>
      <c r="AB46" s="5"/>
      <c r="AC46" s="17">
        <v>1593379.5555749999</v>
      </c>
      <c r="AD46" s="17">
        <v>1573654.6838</v>
      </c>
      <c r="AE46" s="17">
        <v>114270.48000000001</v>
      </c>
      <c r="AF46" s="17">
        <v>0</v>
      </c>
      <c r="AG46" s="17">
        <v>0</v>
      </c>
      <c r="AH46" s="18">
        <v>581.09</v>
      </c>
      <c r="AI46" s="11">
        <v>7.2614710950476197E-2</v>
      </c>
      <c r="AJ46" s="7" t="s">
        <v>69</v>
      </c>
      <c r="AK46" s="19">
        <v>-19724.87177499989</v>
      </c>
      <c r="AL46" s="11">
        <v>-1.2379267517262593E-2</v>
      </c>
      <c r="AM46" s="19">
        <f t="shared" si="0"/>
        <v>2904.7568600388922</v>
      </c>
    </row>
    <row r="47" spans="1:39" x14ac:dyDescent="0.25">
      <c r="A47" s="4">
        <v>45931</v>
      </c>
      <c r="B47" s="25" t="s">
        <v>269</v>
      </c>
      <c r="C47" s="5" t="s">
        <v>38</v>
      </c>
      <c r="D47" s="6" t="s">
        <v>270</v>
      </c>
      <c r="E47" s="7" t="s">
        <v>40</v>
      </c>
      <c r="F47" s="8" t="s">
        <v>271</v>
      </c>
      <c r="G47" s="8" t="s">
        <v>113</v>
      </c>
      <c r="H47" s="8" t="s">
        <v>114</v>
      </c>
      <c r="I47" s="9">
        <v>45871</v>
      </c>
      <c r="J47" s="9">
        <v>45961</v>
      </c>
      <c r="K47" s="9">
        <v>45951</v>
      </c>
      <c r="L47" s="7" t="s">
        <v>44</v>
      </c>
      <c r="M47" s="7" t="s">
        <v>58</v>
      </c>
      <c r="N47" s="11" t="s">
        <v>46</v>
      </c>
      <c r="O47" s="12" t="s">
        <v>263</v>
      </c>
      <c r="P47" s="13">
        <v>-10</v>
      </c>
      <c r="Q47" s="14" t="s">
        <v>60</v>
      </c>
      <c r="R47" s="15" t="s">
        <v>46</v>
      </c>
      <c r="S47" s="15"/>
      <c r="T47" s="15" t="s">
        <v>116</v>
      </c>
      <c r="U47" s="16" t="s">
        <v>51</v>
      </c>
      <c r="V47" s="16" t="s">
        <v>51</v>
      </c>
      <c r="W47" s="16" t="s">
        <v>51</v>
      </c>
      <c r="X47" s="16" t="s">
        <v>50</v>
      </c>
      <c r="Y47" s="16" t="s">
        <v>50</v>
      </c>
      <c r="Z47" s="5" t="s">
        <v>68</v>
      </c>
      <c r="AA47" s="5"/>
      <c r="AB47" s="5"/>
      <c r="AC47" s="17">
        <v>398829.91</v>
      </c>
      <c r="AD47" s="17">
        <v>387587.50200000004</v>
      </c>
      <c r="AE47" s="17">
        <v>0</v>
      </c>
      <c r="AF47" s="17">
        <v>0</v>
      </c>
      <c r="AG47" s="17">
        <v>0</v>
      </c>
      <c r="AH47" s="18">
        <v>358.95699999999999</v>
      </c>
      <c r="AI47" s="11">
        <v>0</v>
      </c>
      <c r="AJ47" s="7" t="s">
        <v>69</v>
      </c>
      <c r="AK47" s="19">
        <v>-11242.407999999938</v>
      </c>
      <c r="AL47" s="11">
        <v>-2.8188477639502829E-2</v>
      </c>
      <c r="AM47" s="19">
        <f t="shared" si="0"/>
        <v>1079.7602554066366</v>
      </c>
    </row>
    <row r="48" spans="1:39" x14ac:dyDescent="0.25">
      <c r="A48" s="4">
        <v>45962</v>
      </c>
      <c r="B48" s="25" t="s">
        <v>280</v>
      </c>
      <c r="C48" s="5" t="s">
        <v>38</v>
      </c>
      <c r="D48" s="6" t="s">
        <v>281</v>
      </c>
      <c r="E48" s="7" t="s">
        <v>40</v>
      </c>
      <c r="F48" s="7" t="s">
        <v>282</v>
      </c>
      <c r="G48" s="7" t="s">
        <v>107</v>
      </c>
      <c r="H48" s="7" t="s">
        <v>43</v>
      </c>
      <c r="I48" s="26">
        <v>45895</v>
      </c>
      <c r="J48" s="26">
        <v>45985</v>
      </c>
      <c r="K48" s="26">
        <v>45975</v>
      </c>
      <c r="L48" s="7" t="s">
        <v>44</v>
      </c>
      <c r="M48" s="26" t="s">
        <v>108</v>
      </c>
      <c r="N48" s="26" t="s">
        <v>83</v>
      </c>
      <c r="O48" s="12" t="s">
        <v>274</v>
      </c>
      <c r="P48" s="13">
        <v>-10</v>
      </c>
      <c r="Q48" s="14" t="s">
        <v>60</v>
      </c>
      <c r="R48" s="15" t="s">
        <v>83</v>
      </c>
      <c r="S48" s="15"/>
      <c r="T48" s="15" t="s">
        <v>116</v>
      </c>
      <c r="U48" s="16" t="s">
        <v>51</v>
      </c>
      <c r="V48" s="16" t="s">
        <v>51</v>
      </c>
      <c r="W48" s="16" t="s">
        <v>51</v>
      </c>
      <c r="X48" s="16" t="s">
        <v>50</v>
      </c>
      <c r="Y48" s="16" t="s">
        <v>50</v>
      </c>
      <c r="Z48" s="5" t="s">
        <v>61</v>
      </c>
      <c r="AA48" s="5"/>
      <c r="AB48" s="5"/>
      <c r="AC48" s="17">
        <v>2041862.6821999999</v>
      </c>
      <c r="AD48" s="17">
        <v>1993134.53</v>
      </c>
      <c r="AE48" s="17">
        <v>110750.79</v>
      </c>
      <c r="AF48" s="17">
        <v>0</v>
      </c>
      <c r="AG48" s="17">
        <v>0</v>
      </c>
      <c r="AH48" s="18">
        <v>668.44</v>
      </c>
      <c r="AI48" s="11">
        <v>5.5566138829575139E-2</v>
      </c>
      <c r="AJ48" s="7" t="s">
        <v>69</v>
      </c>
      <c r="AK48" s="19">
        <v>-48728.152199999895</v>
      </c>
      <c r="AL48" s="11">
        <v>-2.3864558877925046E-2</v>
      </c>
      <c r="AM48" s="19">
        <f t="shared" si="0"/>
        <v>3147.455747711088</v>
      </c>
    </row>
    <row r="49" spans="1:39" x14ac:dyDescent="0.25">
      <c r="A49" s="4">
        <v>45962</v>
      </c>
      <c r="B49" s="25" t="s">
        <v>275</v>
      </c>
      <c r="C49" s="5" t="s">
        <v>38</v>
      </c>
      <c r="D49" s="6" t="s">
        <v>276</v>
      </c>
      <c r="E49" s="7" t="s">
        <v>40</v>
      </c>
      <c r="F49" s="7" t="s">
        <v>57</v>
      </c>
      <c r="G49" s="7" t="s">
        <v>42</v>
      </c>
      <c r="H49" s="7" t="s">
        <v>43</v>
      </c>
      <c r="I49" s="26">
        <v>45797</v>
      </c>
      <c r="J49" s="26">
        <v>45991</v>
      </c>
      <c r="K49" s="26">
        <v>45991</v>
      </c>
      <c r="L49" s="7" t="s">
        <v>44</v>
      </c>
      <c r="M49" s="26" t="s">
        <v>58</v>
      </c>
      <c r="N49" s="26" t="s">
        <v>83</v>
      </c>
      <c r="O49" s="12" t="s">
        <v>274</v>
      </c>
      <c r="P49" s="13">
        <v>0</v>
      </c>
      <c r="Q49" s="14" t="s">
        <v>60</v>
      </c>
      <c r="R49" s="15" t="s">
        <v>83</v>
      </c>
      <c r="S49" s="15"/>
      <c r="T49" s="15" t="s">
        <v>116</v>
      </c>
      <c r="U49" s="16" t="s">
        <v>51</v>
      </c>
      <c r="V49" s="16" t="s">
        <v>51</v>
      </c>
      <c r="W49" s="16" t="s">
        <v>51</v>
      </c>
      <c r="X49" s="16" t="s">
        <v>50</v>
      </c>
      <c r="Y49" s="16" t="s">
        <v>50</v>
      </c>
      <c r="Z49" s="5" t="s">
        <v>61</v>
      </c>
      <c r="AA49" s="5"/>
      <c r="AB49" s="5" t="s">
        <v>253</v>
      </c>
      <c r="AC49" s="17">
        <v>8360755.5791999996</v>
      </c>
      <c r="AD49" s="17">
        <v>8150862.5799999991</v>
      </c>
      <c r="AE49" s="17">
        <v>515538.82</v>
      </c>
      <c r="AF49" s="17">
        <v>0</v>
      </c>
      <c r="AG49" s="17">
        <v>0</v>
      </c>
      <c r="AH49" s="18">
        <v>3349.08</v>
      </c>
      <c r="AI49" s="11">
        <v>6.3249602718734588E-2</v>
      </c>
      <c r="AJ49" s="7" t="s">
        <v>69</v>
      </c>
      <c r="AK49" s="19">
        <v>-209892.99920000043</v>
      </c>
      <c r="AL49" s="11">
        <v>-2.5104549129767006E-2</v>
      </c>
      <c r="AM49" s="19">
        <f t="shared" si="0"/>
        <v>2587.6961434184905</v>
      </c>
    </row>
    <row r="50" spans="1:39" x14ac:dyDescent="0.25">
      <c r="A50" s="4">
        <v>45962</v>
      </c>
      <c r="B50" s="25" t="s">
        <v>277</v>
      </c>
      <c r="C50" s="5" t="s">
        <v>38</v>
      </c>
      <c r="D50" s="6" t="s">
        <v>278</v>
      </c>
      <c r="E50" s="7" t="s">
        <v>40</v>
      </c>
      <c r="F50" s="7" t="s">
        <v>279</v>
      </c>
      <c r="G50" s="7" t="s">
        <v>42</v>
      </c>
      <c r="H50" s="7" t="s">
        <v>43</v>
      </c>
      <c r="I50" s="26">
        <v>45836</v>
      </c>
      <c r="J50" s="26">
        <v>45991</v>
      </c>
      <c r="K50" s="26">
        <v>45991</v>
      </c>
      <c r="L50" s="7" t="s">
        <v>44</v>
      </c>
      <c r="M50" s="26" t="s">
        <v>259</v>
      </c>
      <c r="N50" s="26" t="s">
        <v>83</v>
      </c>
      <c r="O50" s="12" t="s">
        <v>274</v>
      </c>
      <c r="P50" s="13">
        <v>0</v>
      </c>
      <c r="Q50" s="14" t="s">
        <v>60</v>
      </c>
      <c r="R50" s="15" t="s">
        <v>83</v>
      </c>
      <c r="S50" s="15"/>
      <c r="T50" s="15" t="s">
        <v>116</v>
      </c>
      <c r="U50" s="16" t="s">
        <v>51</v>
      </c>
      <c r="V50" s="16" t="s">
        <v>51</v>
      </c>
      <c r="W50" s="16" t="s">
        <v>51</v>
      </c>
      <c r="X50" s="16" t="s">
        <v>50</v>
      </c>
      <c r="Y50" s="16" t="s">
        <v>50</v>
      </c>
      <c r="Z50" s="5" t="s">
        <v>61</v>
      </c>
      <c r="AA50" s="5"/>
      <c r="AB50" s="5" t="s">
        <v>253</v>
      </c>
      <c r="AC50" s="17">
        <v>3078583.18615</v>
      </c>
      <c r="AD50" s="17">
        <v>3039749.2460999996</v>
      </c>
      <c r="AE50" s="17">
        <v>0</v>
      </c>
      <c r="AF50" s="17">
        <v>0</v>
      </c>
      <c r="AG50" s="17">
        <v>0</v>
      </c>
      <c r="AH50" s="18">
        <v>1216.6400000000001</v>
      </c>
      <c r="AI50" s="11">
        <v>0</v>
      </c>
      <c r="AJ50" s="7" t="s">
        <v>69</v>
      </c>
      <c r="AK50" s="19">
        <v>-38833.940050000325</v>
      </c>
      <c r="AL50" s="11">
        <v>-1.2614224694238341E-2</v>
      </c>
      <c r="AM50" s="19">
        <f t="shared" si="0"/>
        <v>2498.4787990695681</v>
      </c>
    </row>
    <row r="51" spans="1:39" x14ac:dyDescent="0.25">
      <c r="A51" s="4">
        <v>45962</v>
      </c>
      <c r="B51" s="25" t="s">
        <v>289</v>
      </c>
      <c r="C51" s="5" t="s">
        <v>38</v>
      </c>
      <c r="D51" s="6" t="s">
        <v>290</v>
      </c>
      <c r="E51" s="7" t="s">
        <v>40</v>
      </c>
      <c r="F51" s="7" t="s">
        <v>57</v>
      </c>
      <c r="G51" s="7" t="s">
        <v>42</v>
      </c>
      <c r="H51" s="7" t="s">
        <v>43</v>
      </c>
      <c r="I51" s="26">
        <v>45924</v>
      </c>
      <c r="J51" s="26">
        <v>45984</v>
      </c>
      <c r="K51" s="26">
        <v>45957</v>
      </c>
      <c r="L51" s="7" t="s">
        <v>44</v>
      </c>
      <c r="M51" s="26" t="s">
        <v>58</v>
      </c>
      <c r="N51" s="26" t="s">
        <v>83</v>
      </c>
      <c r="O51" s="12" t="s">
        <v>263</v>
      </c>
      <c r="P51" s="13">
        <v>-27</v>
      </c>
      <c r="Q51" s="14" t="s">
        <v>60</v>
      </c>
      <c r="R51" s="15" t="s">
        <v>83</v>
      </c>
      <c r="S51" s="15"/>
      <c r="T51" s="15" t="s">
        <v>116</v>
      </c>
      <c r="U51" s="16" t="s">
        <v>51</v>
      </c>
      <c r="V51" s="16" t="s">
        <v>51</v>
      </c>
      <c r="W51" s="16" t="s">
        <v>51</v>
      </c>
      <c r="X51" s="16" t="s">
        <v>51</v>
      </c>
      <c r="Y51" s="16" t="s">
        <v>50</v>
      </c>
      <c r="Z51" s="5" t="s">
        <v>61</v>
      </c>
      <c r="AA51" s="5"/>
      <c r="AB51" s="5"/>
      <c r="AC51" s="17">
        <v>548783.91960000002</v>
      </c>
      <c r="AD51" s="17">
        <v>528898.32000000007</v>
      </c>
      <c r="AE51" s="17">
        <v>28717.75</v>
      </c>
      <c r="AF51" s="17">
        <v>0</v>
      </c>
      <c r="AG51" s="17">
        <v>0</v>
      </c>
      <c r="AH51" s="18">
        <v>228.31100000000004</v>
      </c>
      <c r="AI51" s="11">
        <v>5.4297298580944627E-2</v>
      </c>
      <c r="AJ51" s="7" t="s">
        <v>69</v>
      </c>
      <c r="AK51" s="19">
        <v>-19885.599599999958</v>
      </c>
      <c r="AL51" s="11">
        <v>-3.6235754893281569E-2</v>
      </c>
      <c r="AM51" s="19">
        <f t="shared" si="0"/>
        <v>2442.3530622703242</v>
      </c>
    </row>
    <row r="52" spans="1:39" x14ac:dyDescent="0.25">
      <c r="A52" s="4">
        <v>45962</v>
      </c>
      <c r="B52" s="25" t="s">
        <v>283</v>
      </c>
      <c r="C52" s="5" t="s">
        <v>38</v>
      </c>
      <c r="D52" s="6" t="s">
        <v>284</v>
      </c>
      <c r="E52" s="7" t="s">
        <v>40</v>
      </c>
      <c r="F52" s="7" t="s">
        <v>57</v>
      </c>
      <c r="G52" s="7" t="s">
        <v>42</v>
      </c>
      <c r="H52" s="7" t="s">
        <v>43</v>
      </c>
      <c r="I52" s="26">
        <v>45931</v>
      </c>
      <c r="J52" s="26">
        <v>45991</v>
      </c>
      <c r="K52" s="26">
        <v>45976</v>
      </c>
      <c r="L52" s="7" t="s">
        <v>44</v>
      </c>
      <c r="M52" s="26" t="s">
        <v>58</v>
      </c>
      <c r="N52" s="26" t="s">
        <v>83</v>
      </c>
      <c r="O52" s="12" t="s">
        <v>274</v>
      </c>
      <c r="P52" s="13">
        <v>-15</v>
      </c>
      <c r="Q52" s="14" t="s">
        <v>60</v>
      </c>
      <c r="R52" s="15" t="s">
        <v>83</v>
      </c>
      <c r="S52" s="15"/>
      <c r="T52" s="15" t="s">
        <v>116</v>
      </c>
      <c r="U52" s="16" t="s">
        <v>51</v>
      </c>
      <c r="V52" s="16" t="s">
        <v>51</v>
      </c>
      <c r="W52" s="16" t="s">
        <v>51</v>
      </c>
      <c r="X52" s="16" t="s">
        <v>50</v>
      </c>
      <c r="Y52" s="16" t="s">
        <v>50</v>
      </c>
      <c r="Z52" s="5" t="s">
        <v>61</v>
      </c>
      <c r="AA52" s="5"/>
      <c r="AB52" s="5"/>
      <c r="AC52" s="17">
        <v>1164667.152</v>
      </c>
      <c r="AD52" s="17">
        <v>1204678.6200000001</v>
      </c>
      <c r="AE52" s="17">
        <v>0</v>
      </c>
      <c r="AF52" s="17">
        <v>0</v>
      </c>
      <c r="AG52" s="17">
        <v>0</v>
      </c>
      <c r="AH52" s="18">
        <v>538.71900000000005</v>
      </c>
      <c r="AI52" s="11">
        <v>0</v>
      </c>
      <c r="AJ52" s="7" t="s">
        <v>54</v>
      </c>
      <c r="AK52" s="19">
        <v>40011.46800000011</v>
      </c>
      <c r="AL52" s="11">
        <v>3.4354423005140466E-2</v>
      </c>
      <c r="AM52" s="19">
        <f t="shared" si="0"/>
        <v>2236.1910754957594</v>
      </c>
    </row>
    <row r="53" spans="1:39" x14ac:dyDescent="0.25">
      <c r="A53" s="4">
        <v>45962</v>
      </c>
      <c r="B53" s="25" t="s">
        <v>287</v>
      </c>
      <c r="C53" s="5" t="s">
        <v>38</v>
      </c>
      <c r="D53" s="6" t="s">
        <v>288</v>
      </c>
      <c r="E53" s="7" t="s">
        <v>40</v>
      </c>
      <c r="F53" s="7" t="s">
        <v>235</v>
      </c>
      <c r="G53" s="7" t="s">
        <v>42</v>
      </c>
      <c r="H53" s="7" t="s">
        <v>43</v>
      </c>
      <c r="I53" s="26">
        <v>45931</v>
      </c>
      <c r="J53" s="26">
        <v>45991</v>
      </c>
      <c r="K53" s="29"/>
      <c r="L53" s="7" t="s">
        <v>266</v>
      </c>
      <c r="M53" s="26" t="s">
        <v>58</v>
      </c>
      <c r="N53" s="26" t="s">
        <v>83</v>
      </c>
      <c r="O53" s="12" t="s">
        <v>212</v>
      </c>
      <c r="P53" s="13" t="s">
        <v>212</v>
      </c>
      <c r="Q53" s="14" t="s">
        <v>213</v>
      </c>
      <c r="R53" s="15" t="s">
        <v>83</v>
      </c>
      <c r="S53" s="15"/>
      <c r="T53" s="15" t="s">
        <v>116</v>
      </c>
      <c r="U53" s="16" t="s">
        <v>51</v>
      </c>
      <c r="V53" s="16" t="s">
        <v>50</v>
      </c>
      <c r="W53" s="16" t="s">
        <v>50</v>
      </c>
      <c r="X53" s="16" t="s">
        <v>50</v>
      </c>
      <c r="Y53" s="16" t="s">
        <v>51</v>
      </c>
      <c r="Z53" s="5" t="s">
        <v>61</v>
      </c>
      <c r="AA53" s="5"/>
      <c r="AB53" s="5"/>
      <c r="AC53" s="17">
        <v>1387473.4424999997</v>
      </c>
      <c r="AD53" s="17">
        <v>1410088.26</v>
      </c>
      <c r="AE53" s="17">
        <v>0</v>
      </c>
      <c r="AF53" s="17">
        <v>0</v>
      </c>
      <c r="AG53" s="17">
        <v>0</v>
      </c>
      <c r="AH53" s="18">
        <v>649.78315999999995</v>
      </c>
      <c r="AI53" s="11">
        <v>0</v>
      </c>
      <c r="AJ53" s="7" t="s">
        <v>54</v>
      </c>
      <c r="AK53" s="19">
        <v>22614.817500000354</v>
      </c>
      <c r="AL53" s="11">
        <v>1.6299279544588652E-2</v>
      </c>
      <c r="AM53" s="19">
        <f t="shared" si="0"/>
        <v>2170.0904960356315</v>
      </c>
    </row>
    <row r="54" spans="1:39" x14ac:dyDescent="0.25">
      <c r="A54" s="4">
        <v>45962</v>
      </c>
      <c r="B54" s="25" t="s">
        <v>291</v>
      </c>
      <c r="C54" s="5" t="s">
        <v>38</v>
      </c>
      <c r="D54" s="6" t="s">
        <v>292</v>
      </c>
      <c r="E54" s="7" t="s">
        <v>40</v>
      </c>
      <c r="F54" s="7" t="s">
        <v>139</v>
      </c>
      <c r="G54" s="7" t="s">
        <v>140</v>
      </c>
      <c r="H54" s="7" t="s">
        <v>114</v>
      </c>
      <c r="I54" s="26">
        <v>45894</v>
      </c>
      <c r="J54" s="26">
        <v>45991</v>
      </c>
      <c r="K54" s="26">
        <v>45991</v>
      </c>
      <c r="L54" s="7" t="s">
        <v>44</v>
      </c>
      <c r="M54" s="26" t="s">
        <v>58</v>
      </c>
      <c r="N54" s="26" t="s">
        <v>83</v>
      </c>
      <c r="O54" s="12" t="s">
        <v>274</v>
      </c>
      <c r="P54" s="13">
        <v>0</v>
      </c>
      <c r="Q54" s="14" t="s">
        <v>60</v>
      </c>
      <c r="R54" s="15" t="s">
        <v>83</v>
      </c>
      <c r="S54" s="15"/>
      <c r="T54" s="15" t="s">
        <v>116</v>
      </c>
      <c r="U54" s="16" t="s">
        <v>51</v>
      </c>
      <c r="V54" s="16" t="s">
        <v>51</v>
      </c>
      <c r="W54" s="16" t="s">
        <v>51</v>
      </c>
      <c r="X54" s="16" t="s">
        <v>50</v>
      </c>
      <c r="Y54" s="16" t="s">
        <v>50</v>
      </c>
      <c r="Z54" s="5" t="s">
        <v>68</v>
      </c>
      <c r="AA54" s="5"/>
      <c r="AB54" s="5"/>
      <c r="AC54" s="17">
        <v>3752914.8703999999</v>
      </c>
      <c r="AD54" s="17">
        <v>3625607.7592442003</v>
      </c>
      <c r="AE54" s="17">
        <v>16450.810000000001</v>
      </c>
      <c r="AF54" s="17">
        <v>0</v>
      </c>
      <c r="AG54" s="17">
        <v>0</v>
      </c>
      <c r="AH54" s="18">
        <v>1693.57</v>
      </c>
      <c r="AI54" s="11">
        <v>4.5373937536556247E-3</v>
      </c>
      <c r="AJ54" s="7" t="s">
        <v>69</v>
      </c>
      <c r="AK54" s="19">
        <v>-127307.11115579959</v>
      </c>
      <c r="AL54" s="11">
        <v>-3.3922195294089019E-2</v>
      </c>
      <c r="AM54" s="19">
        <f t="shared" si="0"/>
        <v>2150.5214247088697</v>
      </c>
    </row>
    <row r="55" spans="1:39" x14ac:dyDescent="0.25">
      <c r="A55" s="4">
        <v>45962</v>
      </c>
      <c r="B55" s="25" t="s">
        <v>285</v>
      </c>
      <c r="C55" s="5" t="s">
        <v>38</v>
      </c>
      <c r="D55" s="6" t="s">
        <v>286</v>
      </c>
      <c r="E55" s="7" t="s">
        <v>40</v>
      </c>
      <c r="F55" s="7" t="s">
        <v>128</v>
      </c>
      <c r="G55" s="7" t="s">
        <v>129</v>
      </c>
      <c r="H55" s="7" t="s">
        <v>114</v>
      </c>
      <c r="I55" s="26">
        <v>45863</v>
      </c>
      <c r="J55" s="26">
        <v>45983</v>
      </c>
      <c r="K55" s="26">
        <v>45983</v>
      </c>
      <c r="L55" s="7" t="s">
        <v>44</v>
      </c>
      <c r="M55" s="26" t="s">
        <v>58</v>
      </c>
      <c r="N55" s="26" t="s">
        <v>83</v>
      </c>
      <c r="O55" s="12" t="s">
        <v>274</v>
      </c>
      <c r="P55" s="13">
        <v>0</v>
      </c>
      <c r="Q55" s="14" t="s">
        <v>60</v>
      </c>
      <c r="R55" s="15" t="s">
        <v>83</v>
      </c>
      <c r="S55" s="15"/>
      <c r="T55" s="15" t="s">
        <v>116</v>
      </c>
      <c r="U55" s="16" t="s">
        <v>51</v>
      </c>
      <c r="V55" s="16" t="s">
        <v>51</v>
      </c>
      <c r="W55" s="16" t="s">
        <v>51</v>
      </c>
      <c r="X55" s="16" t="s">
        <v>50</v>
      </c>
      <c r="Y55" s="16" t="s">
        <v>50</v>
      </c>
      <c r="Z55" s="5" t="s">
        <v>68</v>
      </c>
      <c r="AA55" s="5"/>
      <c r="AB55" s="5"/>
      <c r="AC55" s="17">
        <v>3106876.1373999999</v>
      </c>
      <c r="AD55" s="17">
        <v>3005854.1200000006</v>
      </c>
      <c r="AE55" s="17">
        <v>423196.7</v>
      </c>
      <c r="AF55" s="17">
        <v>0</v>
      </c>
      <c r="AG55" s="17">
        <v>0</v>
      </c>
      <c r="AH55" s="18">
        <v>1762.2</v>
      </c>
      <c r="AI55" s="11">
        <v>0.1407908311930986</v>
      </c>
      <c r="AJ55" s="7" t="s">
        <v>69</v>
      </c>
      <c r="AK55" s="19">
        <v>-101022.01739999931</v>
      </c>
      <c r="AL55" s="11">
        <v>-3.2515624354609751E-2</v>
      </c>
      <c r="AM55" s="19">
        <f t="shared" si="0"/>
        <v>1945.8919645897179</v>
      </c>
    </row>
    <row r="56" spans="1:39" x14ac:dyDescent="0.25">
      <c r="A56" s="4">
        <v>45962</v>
      </c>
      <c r="B56" s="25" t="s">
        <v>272</v>
      </c>
      <c r="C56" s="5" t="s">
        <v>38</v>
      </c>
      <c r="D56" s="6" t="s">
        <v>273</v>
      </c>
      <c r="E56" s="7" t="s">
        <v>40</v>
      </c>
      <c r="F56" s="7" t="s">
        <v>57</v>
      </c>
      <c r="G56" s="7" t="s">
        <v>42</v>
      </c>
      <c r="H56" s="7" t="s">
        <v>43</v>
      </c>
      <c r="I56" s="26">
        <v>45810</v>
      </c>
      <c r="J56" s="26">
        <v>45991</v>
      </c>
      <c r="K56" s="26">
        <v>45991</v>
      </c>
      <c r="L56" s="7" t="s">
        <v>44</v>
      </c>
      <c r="M56" s="26" t="s">
        <v>45</v>
      </c>
      <c r="N56" s="26" t="s">
        <v>83</v>
      </c>
      <c r="O56" s="12" t="s">
        <v>274</v>
      </c>
      <c r="P56" s="13">
        <v>0</v>
      </c>
      <c r="Q56" s="14" t="s">
        <v>60</v>
      </c>
      <c r="R56" s="15" t="s">
        <v>83</v>
      </c>
      <c r="S56" s="15"/>
      <c r="T56" s="15" t="s">
        <v>116</v>
      </c>
      <c r="U56" s="16" t="s">
        <v>51</v>
      </c>
      <c r="V56" s="16" t="s">
        <v>51</v>
      </c>
      <c r="W56" s="16" t="s">
        <v>51</v>
      </c>
      <c r="X56" s="16" t="s">
        <v>50</v>
      </c>
      <c r="Y56" s="16" t="s">
        <v>50</v>
      </c>
      <c r="Z56" s="5" t="s">
        <v>61</v>
      </c>
      <c r="AA56" s="5"/>
      <c r="AB56" s="5" t="s">
        <v>253</v>
      </c>
      <c r="AC56" s="17">
        <v>4369387.9239999996</v>
      </c>
      <c r="AD56" s="17">
        <v>4338143.34</v>
      </c>
      <c r="AE56" s="17">
        <v>119142.22</v>
      </c>
      <c r="AF56" s="17">
        <v>0</v>
      </c>
      <c r="AG56" s="17">
        <v>0</v>
      </c>
      <c r="AH56" s="18">
        <v>2631.99</v>
      </c>
      <c r="AI56" s="11">
        <v>2.7463873519679504E-2</v>
      </c>
      <c r="AJ56" s="7" t="s">
        <v>69</v>
      </c>
      <c r="AK56" s="19">
        <v>-31244.583999999799</v>
      </c>
      <c r="AL56" s="11">
        <v>-7.1507919515181317E-3</v>
      </c>
      <c r="AM56" s="19">
        <f t="shared" si="0"/>
        <v>1693.503987477156</v>
      </c>
    </row>
    <row r="57" spans="1:39" x14ac:dyDescent="0.25">
      <c r="A57" s="4">
        <v>45962</v>
      </c>
      <c r="B57" s="25" t="s">
        <v>264</v>
      </c>
      <c r="C57" s="5" t="s">
        <v>38</v>
      </c>
      <c r="D57" s="6" t="s">
        <v>265</v>
      </c>
      <c r="E57" s="7" t="s">
        <v>40</v>
      </c>
      <c r="F57" s="7" t="s">
        <v>57</v>
      </c>
      <c r="G57" s="7" t="s">
        <v>42</v>
      </c>
      <c r="H57" s="7" t="s">
        <v>43</v>
      </c>
      <c r="I57" s="26">
        <v>45800</v>
      </c>
      <c r="J57" s="26">
        <v>45991</v>
      </c>
      <c r="K57" s="29"/>
      <c r="L57" s="7" t="s">
        <v>266</v>
      </c>
      <c r="M57" s="26" t="s">
        <v>45</v>
      </c>
      <c r="N57" s="26" t="s">
        <v>83</v>
      </c>
      <c r="O57" s="12" t="s">
        <v>212</v>
      </c>
      <c r="P57" s="13" t="s">
        <v>212</v>
      </c>
      <c r="Q57" s="14" t="s">
        <v>213</v>
      </c>
      <c r="R57" s="15" t="s">
        <v>83</v>
      </c>
      <c r="S57" s="15"/>
      <c r="T57" s="15" t="s">
        <v>116</v>
      </c>
      <c r="U57" s="16" t="s">
        <v>51</v>
      </c>
      <c r="V57" s="16" t="s">
        <v>50</v>
      </c>
      <c r="W57" s="16" t="s">
        <v>50</v>
      </c>
      <c r="X57" s="16" t="s">
        <v>50</v>
      </c>
      <c r="Y57" s="16" t="s">
        <v>51</v>
      </c>
      <c r="Z57" s="5" t="s">
        <v>61</v>
      </c>
      <c r="AA57" s="5"/>
      <c r="AB57" s="5" t="s">
        <v>253</v>
      </c>
      <c r="AC57" s="17">
        <v>4940382.4577000001</v>
      </c>
      <c r="AD57" s="17">
        <v>4970011.5268999999</v>
      </c>
      <c r="AE57" s="17">
        <v>287733.5</v>
      </c>
      <c r="AF57" s="17">
        <v>0</v>
      </c>
      <c r="AG57" s="17">
        <v>0</v>
      </c>
      <c r="AH57" s="18">
        <v>3079</v>
      </c>
      <c r="AI57" s="11">
        <v>5.7893930113170421E-2</v>
      </c>
      <c r="AJ57" s="7" t="s">
        <v>54</v>
      </c>
      <c r="AK57" s="19">
        <v>29629.069199999794</v>
      </c>
      <c r="AL57" s="11">
        <v>5.9973229711842713E-3</v>
      </c>
      <c r="AM57" s="19">
        <f t="shared" si="0"/>
        <v>1707.6144939590777</v>
      </c>
    </row>
    <row r="58" spans="1:39" x14ac:dyDescent="0.25">
      <c r="A58" s="4">
        <v>45992</v>
      </c>
      <c r="B58" s="25" t="s">
        <v>302</v>
      </c>
      <c r="C58" s="5" t="s">
        <v>38</v>
      </c>
      <c r="D58" s="6" t="s">
        <v>303</v>
      </c>
      <c r="E58" s="7" t="s">
        <v>40</v>
      </c>
      <c r="F58" s="8" t="s">
        <v>106</v>
      </c>
      <c r="G58" s="8" t="s">
        <v>107</v>
      </c>
      <c r="H58" s="8" t="s">
        <v>43</v>
      </c>
      <c r="I58" s="9">
        <v>45972</v>
      </c>
      <c r="J58" s="9">
        <v>46017</v>
      </c>
      <c r="K58" s="9">
        <v>45987</v>
      </c>
      <c r="L58" s="7" t="s">
        <v>44</v>
      </c>
      <c r="M58" s="7" t="s">
        <v>259</v>
      </c>
      <c r="N58" s="11" t="s">
        <v>46</v>
      </c>
      <c r="O58" s="12" t="s">
        <v>274</v>
      </c>
      <c r="P58" s="13">
        <v>-30</v>
      </c>
      <c r="Q58" s="14" t="s">
        <v>60</v>
      </c>
      <c r="R58" s="15" t="s">
        <v>46</v>
      </c>
      <c r="S58" s="15"/>
      <c r="T58" s="15" t="s">
        <v>116</v>
      </c>
      <c r="U58" s="16" t="s">
        <v>51</v>
      </c>
      <c r="V58" s="16" t="s">
        <v>51</v>
      </c>
      <c r="W58" s="16" t="s">
        <v>51</v>
      </c>
      <c r="X58" s="16" t="s">
        <v>50</v>
      </c>
      <c r="Y58" s="16" t="s">
        <v>50</v>
      </c>
      <c r="Z58" s="5" t="s">
        <v>61</v>
      </c>
      <c r="AA58" s="5"/>
      <c r="AB58" s="5"/>
      <c r="AC58" s="17">
        <v>242454.67300000001</v>
      </c>
      <c r="AD58" s="17">
        <v>265081.77</v>
      </c>
      <c r="AE58" s="17">
        <v>5700</v>
      </c>
      <c r="AF58" s="17">
        <v>0</v>
      </c>
      <c r="AG58" s="17">
        <v>0</v>
      </c>
      <c r="AH58" s="18">
        <v>69.16</v>
      </c>
      <c r="AI58" s="11">
        <v>2.1502798928798458E-2</v>
      </c>
      <c r="AJ58" s="7" t="s">
        <v>54</v>
      </c>
      <c r="AK58" s="19">
        <v>22627.097000000009</v>
      </c>
      <c r="AL58" s="11">
        <v>9.332506039180366E-2</v>
      </c>
      <c r="AM58" s="19">
        <f t="shared" si="0"/>
        <v>3915.2945344129557</v>
      </c>
    </row>
    <row r="59" spans="1:39" x14ac:dyDescent="0.25">
      <c r="A59" s="4">
        <v>45992</v>
      </c>
      <c r="B59" s="25" t="s">
        <v>296</v>
      </c>
      <c r="C59" s="5" t="s">
        <v>38</v>
      </c>
      <c r="D59" s="6" t="s">
        <v>297</v>
      </c>
      <c r="E59" s="7" t="s">
        <v>40</v>
      </c>
      <c r="F59" s="8" t="s">
        <v>57</v>
      </c>
      <c r="G59" s="8" t="s">
        <v>42</v>
      </c>
      <c r="H59" s="8" t="s">
        <v>43</v>
      </c>
      <c r="I59" s="9">
        <v>45886</v>
      </c>
      <c r="J59" s="9">
        <v>46006</v>
      </c>
      <c r="K59" s="9">
        <v>46006</v>
      </c>
      <c r="L59" s="7" t="s">
        <v>44</v>
      </c>
      <c r="M59" s="7" t="s">
        <v>45</v>
      </c>
      <c r="N59" s="11" t="s">
        <v>83</v>
      </c>
      <c r="O59" s="12" t="s">
        <v>293</v>
      </c>
      <c r="P59" s="13">
        <v>0</v>
      </c>
      <c r="Q59" s="14" t="s">
        <v>60</v>
      </c>
      <c r="R59" s="15" t="s">
        <v>83</v>
      </c>
      <c r="S59" s="15"/>
      <c r="T59" s="15" t="s">
        <v>116</v>
      </c>
      <c r="U59" s="16" t="s">
        <v>51</v>
      </c>
      <c r="V59" s="16" t="s">
        <v>51</v>
      </c>
      <c r="W59" s="16" t="s">
        <v>51</v>
      </c>
      <c r="X59" s="16" t="s">
        <v>50</v>
      </c>
      <c r="Y59" s="16" t="s">
        <v>50</v>
      </c>
      <c r="Z59" s="5" t="s">
        <v>61</v>
      </c>
      <c r="AA59" s="5"/>
      <c r="AB59" s="5"/>
      <c r="AC59" s="17">
        <v>2919761.7264</v>
      </c>
      <c r="AD59" s="17">
        <v>2937130.7600000002</v>
      </c>
      <c r="AE59" s="17">
        <v>0</v>
      </c>
      <c r="AF59" s="17">
        <v>0</v>
      </c>
      <c r="AG59" s="17">
        <v>0</v>
      </c>
      <c r="AH59" s="18">
        <v>982.41</v>
      </c>
      <c r="AI59" s="11">
        <v>0</v>
      </c>
      <c r="AJ59" s="7" t="s">
        <v>54</v>
      </c>
      <c r="AK59" s="19">
        <v>17369.033600000199</v>
      </c>
      <c r="AL59" s="11">
        <v>5.9487846021653024E-3</v>
      </c>
      <c r="AM59" s="19">
        <f t="shared" si="0"/>
        <v>2989.7199336325975</v>
      </c>
    </row>
    <row r="60" spans="1:39" x14ac:dyDescent="0.25">
      <c r="A60" s="4">
        <v>45992</v>
      </c>
      <c r="B60" s="25" t="s">
        <v>320</v>
      </c>
      <c r="C60" s="5" t="s">
        <v>38</v>
      </c>
      <c r="D60" s="6" t="s">
        <v>321</v>
      </c>
      <c r="E60" s="7" t="s">
        <v>40</v>
      </c>
      <c r="F60" s="8" t="s">
        <v>139</v>
      </c>
      <c r="G60" s="8" t="s">
        <v>140</v>
      </c>
      <c r="H60" s="8" t="s">
        <v>114</v>
      </c>
      <c r="I60" s="9">
        <v>45894</v>
      </c>
      <c r="J60" s="9">
        <v>46022</v>
      </c>
      <c r="K60" s="9">
        <v>46022</v>
      </c>
      <c r="L60" s="7" t="s">
        <v>44</v>
      </c>
      <c r="M60" s="7" t="s">
        <v>58</v>
      </c>
      <c r="N60" s="11" t="s">
        <v>83</v>
      </c>
      <c r="O60" s="12" t="s">
        <v>293</v>
      </c>
      <c r="P60" s="13">
        <v>0</v>
      </c>
      <c r="Q60" s="14" t="s">
        <v>60</v>
      </c>
      <c r="R60" s="15" t="s">
        <v>83</v>
      </c>
      <c r="S60" s="15"/>
      <c r="T60" s="15" t="s">
        <v>116</v>
      </c>
      <c r="U60" s="16" t="s">
        <v>51</v>
      </c>
      <c r="V60" s="16" t="s">
        <v>51</v>
      </c>
      <c r="W60" s="16" t="s">
        <v>51</v>
      </c>
      <c r="X60" s="16" t="s">
        <v>50</v>
      </c>
      <c r="Y60" s="16" t="s">
        <v>50</v>
      </c>
      <c r="Z60" s="5" t="s">
        <v>52</v>
      </c>
      <c r="AA60" s="5"/>
      <c r="AB60" s="5"/>
      <c r="AC60" s="17">
        <v>3792430.9603999997</v>
      </c>
      <c r="AD60" s="17">
        <v>3639088.6903999997</v>
      </c>
      <c r="AE60" s="17">
        <v>16450.810000000001</v>
      </c>
      <c r="AF60" s="17">
        <v>0</v>
      </c>
      <c r="AG60" s="17">
        <v>0</v>
      </c>
      <c r="AH60" s="18">
        <v>1693.57</v>
      </c>
      <c r="AI60" s="11">
        <v>4.520585069387734E-3</v>
      </c>
      <c r="AJ60" s="7" t="s">
        <v>69</v>
      </c>
      <c r="AK60" s="19">
        <v>-153342.27000000002</v>
      </c>
      <c r="AL60" s="11">
        <v>-4.0433767048412284E-2</v>
      </c>
      <c r="AM60" s="19">
        <f t="shared" si="0"/>
        <v>2158.4814919961973</v>
      </c>
    </row>
    <row r="61" spans="1:39" x14ac:dyDescent="0.25">
      <c r="A61" s="4">
        <v>45992</v>
      </c>
      <c r="B61" s="25" t="s">
        <v>318</v>
      </c>
      <c r="C61" s="5" t="s">
        <v>38</v>
      </c>
      <c r="D61" s="6" t="s">
        <v>319</v>
      </c>
      <c r="E61" s="7" t="s">
        <v>40</v>
      </c>
      <c r="F61" s="8" t="s">
        <v>192</v>
      </c>
      <c r="G61" s="8" t="s">
        <v>193</v>
      </c>
      <c r="H61" s="8" t="s">
        <v>66</v>
      </c>
      <c r="I61" s="9">
        <v>45892</v>
      </c>
      <c r="J61" s="9">
        <v>46022</v>
      </c>
      <c r="K61" s="9">
        <v>46022</v>
      </c>
      <c r="L61" s="7" t="s">
        <v>44</v>
      </c>
      <c r="M61" s="7" t="s">
        <v>58</v>
      </c>
      <c r="N61" s="11" t="s">
        <v>46</v>
      </c>
      <c r="O61" s="12" t="s">
        <v>293</v>
      </c>
      <c r="P61" s="13">
        <v>0</v>
      </c>
      <c r="Q61" s="14" t="s">
        <v>60</v>
      </c>
      <c r="R61" s="15" t="s">
        <v>46</v>
      </c>
      <c r="S61" s="15"/>
      <c r="T61" s="15" t="s">
        <v>116</v>
      </c>
      <c r="U61" s="16" t="s">
        <v>51</v>
      </c>
      <c r="V61" s="16" t="s">
        <v>51</v>
      </c>
      <c r="W61" s="16" t="s">
        <v>51</v>
      </c>
      <c r="X61" s="16" t="s">
        <v>50</v>
      </c>
      <c r="Y61" s="16" t="s">
        <v>50</v>
      </c>
      <c r="Z61" s="5" t="s">
        <v>52</v>
      </c>
      <c r="AA61" s="5"/>
      <c r="AB61" s="5"/>
      <c r="AC61" s="17">
        <v>1223060.9322000002</v>
      </c>
      <c r="AD61" s="17">
        <v>1220028.02</v>
      </c>
      <c r="AE61" s="17">
        <v>0</v>
      </c>
      <c r="AF61" s="17">
        <v>0</v>
      </c>
      <c r="AG61" s="17">
        <v>0</v>
      </c>
      <c r="AH61" s="18">
        <v>568.5</v>
      </c>
      <c r="AI61" s="11">
        <v>0</v>
      </c>
      <c r="AJ61" s="7" t="s">
        <v>69</v>
      </c>
      <c r="AK61" s="19">
        <v>-3032.9122000001371</v>
      </c>
      <c r="AL61" s="11">
        <v>-2.4797719558784515E-3</v>
      </c>
      <c r="AM61" s="19">
        <f t="shared" si="0"/>
        <v>2146.047528583993</v>
      </c>
    </row>
    <row r="62" spans="1:39" x14ac:dyDescent="0.25">
      <c r="A62" s="4">
        <v>45992</v>
      </c>
      <c r="B62" s="25" t="s">
        <v>310</v>
      </c>
      <c r="C62" s="5" t="s">
        <v>38</v>
      </c>
      <c r="D62" s="6" t="s">
        <v>311</v>
      </c>
      <c r="E62" s="7" t="s">
        <v>40</v>
      </c>
      <c r="F62" s="8" t="s">
        <v>57</v>
      </c>
      <c r="G62" s="8" t="s">
        <v>42</v>
      </c>
      <c r="H62" s="8" t="s">
        <v>43</v>
      </c>
      <c r="I62" s="9">
        <v>45915</v>
      </c>
      <c r="J62" s="9">
        <v>46005</v>
      </c>
      <c r="K62" s="9">
        <v>46005</v>
      </c>
      <c r="L62" s="7" t="s">
        <v>44</v>
      </c>
      <c r="M62" s="7" t="s">
        <v>45</v>
      </c>
      <c r="N62" s="11" t="s">
        <v>83</v>
      </c>
      <c r="O62" s="12" t="s">
        <v>293</v>
      </c>
      <c r="P62" s="13">
        <v>0</v>
      </c>
      <c r="Q62" s="14" t="s">
        <v>60</v>
      </c>
      <c r="R62" s="15" t="s">
        <v>83</v>
      </c>
      <c r="S62" s="15"/>
      <c r="T62" s="15" t="s">
        <v>116</v>
      </c>
      <c r="U62" s="16" t="s">
        <v>51</v>
      </c>
      <c r="V62" s="16" t="s">
        <v>51</v>
      </c>
      <c r="W62" s="16" t="s">
        <v>51</v>
      </c>
      <c r="X62" s="16" t="s">
        <v>50</v>
      </c>
      <c r="Y62" s="16" t="s">
        <v>50</v>
      </c>
      <c r="Z62" s="5" t="s">
        <v>61</v>
      </c>
      <c r="AA62" s="5"/>
      <c r="AB62" s="5"/>
      <c r="AC62" s="17">
        <v>2723541.3906</v>
      </c>
      <c r="AD62" s="17">
        <v>2714860.25</v>
      </c>
      <c r="AE62" s="17">
        <v>0</v>
      </c>
      <c r="AF62" s="17">
        <v>0</v>
      </c>
      <c r="AG62" s="17">
        <v>0</v>
      </c>
      <c r="AH62" s="18">
        <v>1280.3570000000002</v>
      </c>
      <c r="AI62" s="11">
        <v>0</v>
      </c>
      <c r="AJ62" s="7" t="s">
        <v>69</v>
      </c>
      <c r="AK62" s="19">
        <v>-8681.1406000000425</v>
      </c>
      <c r="AL62" s="11">
        <v>-3.1874458122655991E-3</v>
      </c>
      <c r="AM62" s="19">
        <f t="shared" si="0"/>
        <v>2120.3931794023069</v>
      </c>
    </row>
    <row r="63" spans="1:39" x14ac:dyDescent="0.25">
      <c r="A63" s="4">
        <v>45992</v>
      </c>
      <c r="B63" s="25" t="s">
        <v>316</v>
      </c>
      <c r="C63" s="5" t="s">
        <v>38</v>
      </c>
      <c r="D63" s="6" t="s">
        <v>317</v>
      </c>
      <c r="E63" s="7" t="s">
        <v>40</v>
      </c>
      <c r="F63" s="8" t="s">
        <v>231</v>
      </c>
      <c r="G63" s="8" t="s">
        <v>232</v>
      </c>
      <c r="H63" s="8" t="s">
        <v>114</v>
      </c>
      <c r="I63" s="9">
        <v>45933</v>
      </c>
      <c r="J63" s="9">
        <v>46008</v>
      </c>
      <c r="K63" s="9">
        <v>46008</v>
      </c>
      <c r="L63" s="7" t="s">
        <v>44</v>
      </c>
      <c r="M63" s="7" t="s">
        <v>45</v>
      </c>
      <c r="N63" s="11" t="s">
        <v>83</v>
      </c>
      <c r="O63" s="12" t="s">
        <v>293</v>
      </c>
      <c r="P63" s="13">
        <v>0</v>
      </c>
      <c r="Q63" s="14" t="s">
        <v>60</v>
      </c>
      <c r="R63" s="15" t="s">
        <v>83</v>
      </c>
      <c r="S63" s="15"/>
      <c r="T63" s="15" t="s">
        <v>116</v>
      </c>
      <c r="U63" s="16" t="s">
        <v>51</v>
      </c>
      <c r="V63" s="16" t="s">
        <v>51</v>
      </c>
      <c r="W63" s="16" t="s">
        <v>51</v>
      </c>
      <c r="X63" s="16" t="s">
        <v>50</v>
      </c>
      <c r="Y63" s="16" t="s">
        <v>50</v>
      </c>
      <c r="Z63" s="5" t="s">
        <v>52</v>
      </c>
      <c r="AA63" s="5"/>
      <c r="AB63" s="5"/>
      <c r="AC63" s="17">
        <v>678262.73199999996</v>
      </c>
      <c r="AD63" s="17">
        <v>676095.53200000001</v>
      </c>
      <c r="AE63" s="17">
        <v>78341.75</v>
      </c>
      <c r="AF63" s="17">
        <v>0</v>
      </c>
      <c r="AG63" s="17">
        <v>0</v>
      </c>
      <c r="AH63" s="18">
        <v>374.18</v>
      </c>
      <c r="AI63" s="11">
        <v>0.11587378749309646</v>
      </c>
      <c r="AJ63" s="7" t="s">
        <v>69</v>
      </c>
      <c r="AK63" s="19">
        <v>-2167.1999999999534</v>
      </c>
      <c r="AL63" s="11">
        <v>-3.1952219954788363E-3</v>
      </c>
      <c r="AM63" s="19">
        <f t="shared" si="0"/>
        <v>2016.2416002993211</v>
      </c>
    </row>
    <row r="64" spans="1:39" x14ac:dyDescent="0.25">
      <c r="A64" s="4">
        <v>45992</v>
      </c>
      <c r="B64" s="25" t="s">
        <v>314</v>
      </c>
      <c r="C64" s="5" t="s">
        <v>38</v>
      </c>
      <c r="D64" s="6" t="s">
        <v>315</v>
      </c>
      <c r="E64" s="7" t="s">
        <v>40</v>
      </c>
      <c r="F64" s="8" t="s">
        <v>192</v>
      </c>
      <c r="G64" s="8" t="s">
        <v>193</v>
      </c>
      <c r="H64" s="8" t="s">
        <v>66</v>
      </c>
      <c r="I64" s="9">
        <v>45947</v>
      </c>
      <c r="J64" s="9">
        <v>46007</v>
      </c>
      <c r="K64" s="9">
        <v>46007</v>
      </c>
      <c r="L64" s="7" t="s">
        <v>44</v>
      </c>
      <c r="M64" s="7" t="s">
        <v>58</v>
      </c>
      <c r="N64" s="11" t="s">
        <v>83</v>
      </c>
      <c r="O64" s="12" t="s">
        <v>293</v>
      </c>
      <c r="P64" s="13">
        <v>0</v>
      </c>
      <c r="Q64" s="14" t="s">
        <v>60</v>
      </c>
      <c r="R64" s="15" t="s">
        <v>83</v>
      </c>
      <c r="S64" s="15"/>
      <c r="T64" s="15" t="s">
        <v>116</v>
      </c>
      <c r="U64" s="16" t="s">
        <v>51</v>
      </c>
      <c r="V64" s="16" t="s">
        <v>51</v>
      </c>
      <c r="W64" s="16" t="s">
        <v>51</v>
      </c>
      <c r="X64" s="16" t="s">
        <v>50</v>
      </c>
      <c r="Y64" s="16" t="s">
        <v>50</v>
      </c>
      <c r="Z64" s="5" t="s">
        <v>52</v>
      </c>
      <c r="AA64" s="5"/>
      <c r="AB64" s="5"/>
      <c r="AC64" s="17">
        <v>898364.25100000016</v>
      </c>
      <c r="AD64" s="17">
        <v>897057.01100000006</v>
      </c>
      <c r="AE64" s="17">
        <v>0</v>
      </c>
      <c r="AF64" s="17">
        <v>0</v>
      </c>
      <c r="AG64" s="17">
        <v>0</v>
      </c>
      <c r="AH64" s="18">
        <v>481.65</v>
      </c>
      <c r="AI64" s="11">
        <v>0</v>
      </c>
      <c r="AJ64" s="7" t="s">
        <v>69</v>
      </c>
      <c r="AK64" s="19">
        <v>-1307.2400000001071</v>
      </c>
      <c r="AL64" s="11">
        <v>-1.4551335925766518E-3</v>
      </c>
      <c r="AM64" s="19">
        <f t="shared" si="0"/>
        <v>1862.4665441710788</v>
      </c>
    </row>
    <row r="65" spans="1:39" x14ac:dyDescent="0.25">
      <c r="A65" s="4">
        <v>45992</v>
      </c>
      <c r="B65" s="25" t="s">
        <v>304</v>
      </c>
      <c r="C65" s="5" t="s">
        <v>38</v>
      </c>
      <c r="D65" s="6" t="s">
        <v>305</v>
      </c>
      <c r="E65" s="7" t="s">
        <v>40</v>
      </c>
      <c r="F65" s="8" t="s">
        <v>306</v>
      </c>
      <c r="G65" s="8" t="s">
        <v>307</v>
      </c>
      <c r="H65" s="8" t="s">
        <v>114</v>
      </c>
      <c r="I65" s="9">
        <v>45898</v>
      </c>
      <c r="J65" s="9">
        <v>46018</v>
      </c>
      <c r="K65" s="9">
        <v>46018</v>
      </c>
      <c r="L65" s="7" t="s">
        <v>44</v>
      </c>
      <c r="M65" s="7" t="s">
        <v>58</v>
      </c>
      <c r="N65" s="11" t="s">
        <v>83</v>
      </c>
      <c r="O65" s="12" t="s">
        <v>293</v>
      </c>
      <c r="P65" s="13">
        <v>0</v>
      </c>
      <c r="Q65" s="14" t="s">
        <v>60</v>
      </c>
      <c r="R65" s="15" t="s">
        <v>83</v>
      </c>
      <c r="S65" s="15"/>
      <c r="T65" s="15" t="s">
        <v>116</v>
      </c>
      <c r="U65" s="16" t="s">
        <v>51</v>
      </c>
      <c r="V65" s="16" t="s">
        <v>51</v>
      </c>
      <c r="W65" s="16" t="s">
        <v>51</v>
      </c>
      <c r="X65" s="16" t="s">
        <v>50</v>
      </c>
      <c r="Y65" s="16" t="s">
        <v>50</v>
      </c>
      <c r="Z65" s="5" t="s">
        <v>68</v>
      </c>
      <c r="AA65" s="5"/>
      <c r="AB65" s="5"/>
      <c r="AC65" s="17">
        <v>2262681.3303999999</v>
      </c>
      <c r="AD65" s="17">
        <v>2206699.0391000002</v>
      </c>
      <c r="AE65" s="17">
        <v>0</v>
      </c>
      <c r="AF65" s="17">
        <v>0</v>
      </c>
      <c r="AG65" s="17">
        <v>0</v>
      </c>
      <c r="AH65" s="18">
        <v>1201.5519999999999</v>
      </c>
      <c r="AI65" s="11">
        <v>0</v>
      </c>
      <c r="AJ65" s="7" t="s">
        <v>69</v>
      </c>
      <c r="AK65" s="19">
        <v>-55982.291299999692</v>
      </c>
      <c r="AL65" s="11">
        <v>-2.474157122695797E-2</v>
      </c>
      <c r="AM65" s="19">
        <f t="shared" si="0"/>
        <v>1836.5406067319602</v>
      </c>
    </row>
    <row r="66" spans="1:39" x14ac:dyDescent="0.25">
      <c r="A66" s="4">
        <v>45992</v>
      </c>
      <c r="B66" s="25" t="s">
        <v>294</v>
      </c>
      <c r="C66" s="5" t="s">
        <v>38</v>
      </c>
      <c r="D66" s="6" t="s">
        <v>295</v>
      </c>
      <c r="E66" s="7" t="s">
        <v>40</v>
      </c>
      <c r="F66" s="8" t="s">
        <v>164</v>
      </c>
      <c r="G66" s="8" t="s">
        <v>165</v>
      </c>
      <c r="H66" s="8" t="s">
        <v>122</v>
      </c>
      <c r="I66" s="9">
        <v>45911</v>
      </c>
      <c r="J66" s="9">
        <v>46001</v>
      </c>
      <c r="K66" s="9">
        <v>46001</v>
      </c>
      <c r="L66" s="7" t="s">
        <v>44</v>
      </c>
      <c r="M66" s="7" t="s">
        <v>45</v>
      </c>
      <c r="N66" s="11" t="s">
        <v>83</v>
      </c>
      <c r="O66" s="12" t="s">
        <v>293</v>
      </c>
      <c r="P66" s="13">
        <v>0</v>
      </c>
      <c r="Q66" s="14" t="s">
        <v>60</v>
      </c>
      <c r="R66" s="15" t="s">
        <v>83</v>
      </c>
      <c r="S66" s="15"/>
      <c r="T66" s="15" t="s">
        <v>116</v>
      </c>
      <c r="U66" s="16" t="s">
        <v>51</v>
      </c>
      <c r="V66" s="16" t="s">
        <v>51</v>
      </c>
      <c r="W66" s="16" t="s">
        <v>51</v>
      </c>
      <c r="X66" s="16" t="s">
        <v>50</v>
      </c>
      <c r="Y66" s="16" t="s">
        <v>50</v>
      </c>
      <c r="Z66" s="5" t="s">
        <v>61</v>
      </c>
      <c r="AA66" s="5"/>
      <c r="AB66" s="5"/>
      <c r="AC66" s="17">
        <v>1362197.518775</v>
      </c>
      <c r="AD66" s="17">
        <v>1381307.1900000002</v>
      </c>
      <c r="AE66" s="17">
        <v>63750.19</v>
      </c>
      <c r="AF66" s="17">
        <v>0</v>
      </c>
      <c r="AG66" s="17">
        <v>0</v>
      </c>
      <c r="AH66" s="18">
        <v>863.16000000000008</v>
      </c>
      <c r="AI66" s="11">
        <v>4.6152072805760169E-2</v>
      </c>
      <c r="AJ66" s="7" t="s">
        <v>54</v>
      </c>
      <c r="AK66" s="19">
        <v>19109.671225000173</v>
      </c>
      <c r="AL66" s="11">
        <v>1.4028561175317034E-2</v>
      </c>
      <c r="AM66" s="19">
        <f t="shared" si="0"/>
        <v>1674.1477593957088</v>
      </c>
    </row>
    <row r="67" spans="1:39" x14ac:dyDescent="0.25">
      <c r="A67" s="4">
        <v>45992</v>
      </c>
      <c r="B67" s="25" t="s">
        <v>298</v>
      </c>
      <c r="C67" s="5" t="s">
        <v>38</v>
      </c>
      <c r="D67" s="6" t="s">
        <v>299</v>
      </c>
      <c r="E67" s="7" t="s">
        <v>40</v>
      </c>
      <c r="F67" s="8" t="s">
        <v>300</v>
      </c>
      <c r="G67" s="8" t="s">
        <v>121</v>
      </c>
      <c r="H67" s="8" t="s">
        <v>122</v>
      </c>
      <c r="I67" s="9">
        <v>45953</v>
      </c>
      <c r="J67" s="9">
        <v>46013</v>
      </c>
      <c r="K67" s="9">
        <v>46013</v>
      </c>
      <c r="L67" s="7" t="s">
        <v>44</v>
      </c>
      <c r="M67" s="7" t="s">
        <v>301</v>
      </c>
      <c r="N67" s="11" t="s">
        <v>46</v>
      </c>
      <c r="O67" s="12" t="s">
        <v>293</v>
      </c>
      <c r="P67" s="13">
        <v>0</v>
      </c>
      <c r="Q67" s="14" t="s">
        <v>60</v>
      </c>
      <c r="R67" s="15" t="s">
        <v>46</v>
      </c>
      <c r="S67" s="15"/>
      <c r="T67" s="15" t="s">
        <v>116</v>
      </c>
      <c r="U67" s="16" t="s">
        <v>51</v>
      </c>
      <c r="V67" s="16" t="s">
        <v>51</v>
      </c>
      <c r="W67" s="16" t="s">
        <v>51</v>
      </c>
      <c r="X67" s="16" t="s">
        <v>50</v>
      </c>
      <c r="Y67" s="16" t="s">
        <v>50</v>
      </c>
      <c r="Z67" s="5" t="s">
        <v>61</v>
      </c>
      <c r="AA67" s="5"/>
      <c r="AB67" s="5"/>
      <c r="AC67" s="17">
        <v>306651.50599999999</v>
      </c>
      <c r="AD67" s="17">
        <v>349001.63</v>
      </c>
      <c r="AE67" s="17">
        <v>0</v>
      </c>
      <c r="AF67" s="17">
        <v>0</v>
      </c>
      <c r="AG67" s="17">
        <v>0</v>
      </c>
      <c r="AH67" s="18">
        <v>213.05</v>
      </c>
      <c r="AI67" s="11">
        <v>0</v>
      </c>
      <c r="AJ67" s="7" t="s">
        <v>54</v>
      </c>
      <c r="AK67" s="19">
        <v>42350.124000000011</v>
      </c>
      <c r="AL67" s="11">
        <v>0.13810505792852679</v>
      </c>
      <c r="AM67" s="19">
        <f t="shared" si="0"/>
        <v>1638.1207697723539</v>
      </c>
    </row>
    <row r="68" spans="1:39" x14ac:dyDescent="0.25">
      <c r="A68" s="4">
        <v>45992</v>
      </c>
      <c r="B68" s="25" t="s">
        <v>308</v>
      </c>
      <c r="C68" s="5" t="s">
        <v>38</v>
      </c>
      <c r="D68" s="6" t="s">
        <v>309</v>
      </c>
      <c r="E68" s="7" t="s">
        <v>40</v>
      </c>
      <c r="F68" s="8" t="s">
        <v>183</v>
      </c>
      <c r="G68" s="8" t="s">
        <v>42</v>
      </c>
      <c r="H68" s="8" t="s">
        <v>43</v>
      </c>
      <c r="I68" s="9">
        <v>45899</v>
      </c>
      <c r="J68" s="9">
        <v>46019</v>
      </c>
      <c r="K68" s="9">
        <v>46019</v>
      </c>
      <c r="L68" s="7" t="s">
        <v>44</v>
      </c>
      <c r="M68" s="7" t="s">
        <v>259</v>
      </c>
      <c r="N68" s="11" t="s">
        <v>83</v>
      </c>
      <c r="O68" s="12" t="s">
        <v>293</v>
      </c>
      <c r="P68" s="13">
        <v>0</v>
      </c>
      <c r="Q68" s="14" t="s">
        <v>60</v>
      </c>
      <c r="R68" s="15" t="s">
        <v>83</v>
      </c>
      <c r="S68" s="15"/>
      <c r="T68" s="15" t="s">
        <v>116</v>
      </c>
      <c r="U68" s="16" t="s">
        <v>51</v>
      </c>
      <c r="V68" s="16" t="s">
        <v>51</v>
      </c>
      <c r="W68" s="16" t="s">
        <v>51</v>
      </c>
      <c r="X68" s="16" t="s">
        <v>50</v>
      </c>
      <c r="Y68" s="16" t="s">
        <v>50</v>
      </c>
      <c r="Z68" s="5" t="s">
        <v>61</v>
      </c>
      <c r="AA68" s="5"/>
      <c r="AB68" s="5"/>
      <c r="AC68" s="17">
        <v>5075082.2708750004</v>
      </c>
      <c r="AD68" s="17">
        <v>4917754.5491999993</v>
      </c>
      <c r="AE68" s="17">
        <v>0</v>
      </c>
      <c r="AF68" s="17">
        <v>0</v>
      </c>
      <c r="AG68" s="17">
        <v>0</v>
      </c>
      <c r="AH68" s="18">
        <v>3565.55</v>
      </c>
      <c r="AI68" s="11">
        <v>0</v>
      </c>
      <c r="AJ68" s="7" t="s">
        <v>69</v>
      </c>
      <c r="AK68" s="19">
        <v>-157327.72167500108</v>
      </c>
      <c r="AL68" s="11">
        <v>-3.1000033748788125E-2</v>
      </c>
      <c r="AM68" s="19">
        <f t="shared" si="0"/>
        <v>1379.2415052937131</v>
      </c>
    </row>
    <row r="69" spans="1:39" x14ac:dyDescent="0.25">
      <c r="A69" s="4">
        <v>45992</v>
      </c>
      <c r="B69" s="25" t="s">
        <v>312</v>
      </c>
      <c r="C69" s="5" t="s">
        <v>38</v>
      </c>
      <c r="D69" s="6" t="s">
        <v>313</v>
      </c>
      <c r="E69" s="7" t="s">
        <v>40</v>
      </c>
      <c r="F69" s="8" t="s">
        <v>211</v>
      </c>
      <c r="G69" s="8" t="s">
        <v>42</v>
      </c>
      <c r="H69" s="8" t="s">
        <v>43</v>
      </c>
      <c r="I69" s="9">
        <v>45909</v>
      </c>
      <c r="J69" s="9">
        <v>46006</v>
      </c>
      <c r="K69" s="9">
        <v>46006</v>
      </c>
      <c r="L69" s="7" t="s">
        <v>44</v>
      </c>
      <c r="M69" s="7" t="s">
        <v>58</v>
      </c>
      <c r="N69" s="11" t="s">
        <v>83</v>
      </c>
      <c r="O69" s="12" t="s">
        <v>293</v>
      </c>
      <c r="P69" s="13">
        <v>0</v>
      </c>
      <c r="Q69" s="14" t="s">
        <v>60</v>
      </c>
      <c r="R69" s="15" t="s">
        <v>83</v>
      </c>
      <c r="S69" s="15"/>
      <c r="T69" s="15" t="s">
        <v>116</v>
      </c>
      <c r="U69" s="16" t="s">
        <v>51</v>
      </c>
      <c r="V69" s="16" t="s">
        <v>51</v>
      </c>
      <c r="W69" s="16" t="s">
        <v>51</v>
      </c>
      <c r="X69" s="16" t="s">
        <v>50</v>
      </c>
      <c r="Y69" s="16" t="s">
        <v>50</v>
      </c>
      <c r="Z69" s="5" t="s">
        <v>61</v>
      </c>
      <c r="AA69" s="5"/>
      <c r="AB69" s="5"/>
      <c r="AC69" s="17">
        <v>1231832.1370875002</v>
      </c>
      <c r="AD69" s="17">
        <v>1269321.5399999998</v>
      </c>
      <c r="AE69" s="17">
        <v>0</v>
      </c>
      <c r="AF69" s="17">
        <v>0</v>
      </c>
      <c r="AG69" s="17">
        <v>0</v>
      </c>
      <c r="AH69" s="18">
        <v>1203</v>
      </c>
      <c r="AI69" s="11">
        <v>0</v>
      </c>
      <c r="AJ69" s="7" t="s">
        <v>54</v>
      </c>
      <c r="AK69" s="19">
        <v>37489.402912499616</v>
      </c>
      <c r="AL69" s="11">
        <v>3.0433856841191265E-2</v>
      </c>
      <c r="AM69" s="19">
        <f t="shared" ref="AM69:AM89" si="1">(AD69+AE69)/AH69</f>
        <v>1055.1301246882792</v>
      </c>
    </row>
    <row r="70" spans="1:39" x14ac:dyDescent="0.25">
      <c r="A70" s="4">
        <v>46023</v>
      </c>
      <c r="B70" s="25" t="s">
        <v>322</v>
      </c>
      <c r="C70" s="5" t="s">
        <v>38</v>
      </c>
      <c r="D70" s="6" t="s">
        <v>323</v>
      </c>
      <c r="E70" s="7" t="s">
        <v>40</v>
      </c>
      <c r="F70" s="8" t="s">
        <v>306</v>
      </c>
      <c r="G70" s="8" t="s">
        <v>307</v>
      </c>
      <c r="H70" s="8" t="s">
        <v>114</v>
      </c>
      <c r="I70" s="9">
        <v>45846</v>
      </c>
      <c r="J70" s="9">
        <v>46024</v>
      </c>
      <c r="K70" s="9">
        <v>46024</v>
      </c>
      <c r="L70" s="7" t="s">
        <v>44</v>
      </c>
      <c r="M70" s="8" t="s">
        <v>259</v>
      </c>
      <c r="N70" s="8" t="s">
        <v>46</v>
      </c>
      <c r="O70" s="12" t="s">
        <v>324</v>
      </c>
      <c r="P70" s="13">
        <v>0</v>
      </c>
      <c r="Q70" s="14" t="s">
        <v>60</v>
      </c>
      <c r="R70" s="15" t="s">
        <v>83</v>
      </c>
      <c r="S70" s="15"/>
      <c r="T70" s="15" t="s">
        <v>116</v>
      </c>
      <c r="U70" s="16" t="s">
        <v>51</v>
      </c>
      <c r="V70" s="16" t="s">
        <v>51</v>
      </c>
      <c r="W70" s="16" t="s">
        <v>51</v>
      </c>
      <c r="X70" s="16" t="s">
        <v>50</v>
      </c>
      <c r="Y70" s="16" t="s">
        <v>50</v>
      </c>
      <c r="Z70" s="5" t="s">
        <v>68</v>
      </c>
      <c r="AA70" s="5"/>
      <c r="AB70" s="5"/>
      <c r="AC70" s="17">
        <v>6151667.0099999988</v>
      </c>
      <c r="AD70" s="17">
        <v>6149554.8200000003</v>
      </c>
      <c r="AE70" s="17">
        <v>0</v>
      </c>
      <c r="AF70" s="17" t="s">
        <v>212</v>
      </c>
      <c r="AG70" s="17" t="s">
        <v>212</v>
      </c>
      <c r="AH70" s="18">
        <v>2250</v>
      </c>
      <c r="AI70" s="11">
        <v>0</v>
      </c>
      <c r="AJ70" s="7" t="s">
        <v>69</v>
      </c>
      <c r="AK70" s="19">
        <v>-2112.1899999985471</v>
      </c>
      <c r="AL70" s="11">
        <v>-3.4335245983974083E-4</v>
      </c>
      <c r="AM70" s="19">
        <f t="shared" si="1"/>
        <v>2733.1354755555558</v>
      </c>
    </row>
    <row r="71" spans="1:39" x14ac:dyDescent="0.25">
      <c r="A71" s="4">
        <v>46023</v>
      </c>
      <c r="B71" s="25" t="s">
        <v>325</v>
      </c>
      <c r="C71" s="5" t="s">
        <v>38</v>
      </c>
      <c r="D71" s="6" t="s">
        <v>326</v>
      </c>
      <c r="E71" s="7" t="s">
        <v>40</v>
      </c>
      <c r="F71" s="8" t="s">
        <v>327</v>
      </c>
      <c r="G71" s="8" t="s">
        <v>140</v>
      </c>
      <c r="H71" s="8" t="s">
        <v>114</v>
      </c>
      <c r="I71" s="9">
        <v>45863</v>
      </c>
      <c r="J71" s="9">
        <v>46042</v>
      </c>
      <c r="K71" s="10">
        <v>46042</v>
      </c>
      <c r="L71" s="7" t="s">
        <v>44</v>
      </c>
      <c r="M71" s="8" t="s">
        <v>58</v>
      </c>
      <c r="N71" s="8" t="s">
        <v>83</v>
      </c>
      <c r="O71" s="12" t="s">
        <v>324</v>
      </c>
      <c r="P71" s="13">
        <v>0</v>
      </c>
      <c r="Q71" s="14" t="s">
        <v>60</v>
      </c>
      <c r="R71" s="15" t="s">
        <v>83</v>
      </c>
      <c r="S71" s="15"/>
      <c r="T71" s="15" t="s">
        <v>116</v>
      </c>
      <c r="U71" s="16" t="s">
        <v>51</v>
      </c>
      <c r="V71" s="16" t="s">
        <v>51</v>
      </c>
      <c r="W71" s="16" t="s">
        <v>51</v>
      </c>
      <c r="X71" s="16" t="s">
        <v>50</v>
      </c>
      <c r="Y71" s="16" t="s">
        <v>50</v>
      </c>
      <c r="Z71" s="5" t="s">
        <v>52</v>
      </c>
      <c r="AA71" s="5"/>
      <c r="AB71" s="5"/>
      <c r="AC71" s="17">
        <v>2188810.5499999998</v>
      </c>
      <c r="AD71" s="17">
        <v>2149679.6800000002</v>
      </c>
      <c r="AE71" s="17">
        <v>0</v>
      </c>
      <c r="AF71" s="17" t="s">
        <v>212</v>
      </c>
      <c r="AG71" s="17" t="s">
        <v>212</v>
      </c>
      <c r="AH71" s="18">
        <v>890</v>
      </c>
      <c r="AI71" s="11">
        <v>0</v>
      </c>
      <c r="AJ71" s="7" t="s">
        <v>69</v>
      </c>
      <c r="AK71" s="19">
        <v>-39130.869999999646</v>
      </c>
      <c r="AL71" s="11">
        <v>-1.7877687038743373E-2</v>
      </c>
      <c r="AM71" s="19">
        <f t="shared" si="1"/>
        <v>2415.3704269662921</v>
      </c>
    </row>
    <row r="72" spans="1:39" x14ac:dyDescent="0.25">
      <c r="A72" s="4">
        <v>46023</v>
      </c>
      <c r="B72" s="25" t="s">
        <v>328</v>
      </c>
      <c r="C72" s="5" t="s">
        <v>38</v>
      </c>
      <c r="D72" s="6" t="s">
        <v>329</v>
      </c>
      <c r="E72" s="7" t="s">
        <v>40</v>
      </c>
      <c r="F72" s="8" t="s">
        <v>57</v>
      </c>
      <c r="G72" s="8" t="s">
        <v>42</v>
      </c>
      <c r="H72" s="8" t="s">
        <v>43</v>
      </c>
      <c r="I72" s="9">
        <v>45962</v>
      </c>
      <c r="J72" s="9">
        <v>46052</v>
      </c>
      <c r="K72" s="9">
        <v>46052</v>
      </c>
      <c r="L72" s="7" t="s">
        <v>44</v>
      </c>
      <c r="M72" s="8" t="s">
        <v>45</v>
      </c>
      <c r="N72" s="8" t="s">
        <v>83</v>
      </c>
      <c r="O72" s="12" t="s">
        <v>324</v>
      </c>
      <c r="P72" s="13">
        <v>0</v>
      </c>
      <c r="Q72" s="14" t="s">
        <v>60</v>
      </c>
      <c r="R72" s="15" t="s">
        <v>83</v>
      </c>
      <c r="S72" s="15"/>
      <c r="T72" s="15" t="s">
        <v>116</v>
      </c>
      <c r="U72" s="16" t="s">
        <v>51</v>
      </c>
      <c r="V72" s="16" t="s">
        <v>51</v>
      </c>
      <c r="W72" s="16" t="s">
        <v>51</v>
      </c>
      <c r="X72" s="16" t="s">
        <v>50</v>
      </c>
      <c r="Y72" s="16" t="s">
        <v>50</v>
      </c>
      <c r="Z72" s="5" t="s">
        <v>61</v>
      </c>
      <c r="AA72" s="5"/>
      <c r="AB72" s="5"/>
      <c r="AC72" s="17">
        <v>1252891.48</v>
      </c>
      <c r="AD72" s="17">
        <v>1276630.1499999999</v>
      </c>
      <c r="AE72" s="17">
        <v>0</v>
      </c>
      <c r="AF72" s="17" t="s">
        <v>212</v>
      </c>
      <c r="AG72" s="17" t="s">
        <v>212</v>
      </c>
      <c r="AH72" s="18">
        <v>637.67999999999995</v>
      </c>
      <c r="AI72" s="11">
        <v>0</v>
      </c>
      <c r="AJ72" s="7" t="s">
        <v>54</v>
      </c>
      <c r="AK72" s="19">
        <v>23738.669999999925</v>
      </c>
      <c r="AL72" s="11">
        <v>1.8947107853267475E-2</v>
      </c>
      <c r="AM72" s="19">
        <f t="shared" si="1"/>
        <v>2001.9918297578722</v>
      </c>
    </row>
    <row r="73" spans="1:39" x14ac:dyDescent="0.25">
      <c r="A73" s="4">
        <v>46054</v>
      </c>
      <c r="B73" s="25" t="s">
        <v>345</v>
      </c>
      <c r="C73" s="5" t="s">
        <v>38</v>
      </c>
      <c r="D73" s="6" t="s">
        <v>346</v>
      </c>
      <c r="E73" s="7" t="s">
        <v>40</v>
      </c>
      <c r="F73" s="8" t="s">
        <v>57</v>
      </c>
      <c r="G73" s="8" t="s">
        <v>42</v>
      </c>
      <c r="H73" s="8" t="s">
        <v>43</v>
      </c>
      <c r="I73" s="9">
        <v>45840</v>
      </c>
      <c r="J73" s="9">
        <v>46006</v>
      </c>
      <c r="K73" s="10">
        <v>46063</v>
      </c>
      <c r="L73" s="7" t="s">
        <v>44</v>
      </c>
      <c r="M73" s="7" t="s">
        <v>45</v>
      </c>
      <c r="N73" s="11" t="s">
        <v>83</v>
      </c>
      <c r="O73" s="12" t="s">
        <v>109</v>
      </c>
      <c r="P73" s="13">
        <v>57</v>
      </c>
      <c r="Q73" s="14" t="s">
        <v>48</v>
      </c>
      <c r="R73" s="15" t="s">
        <v>83</v>
      </c>
      <c r="S73" s="15"/>
      <c r="T73" s="15" t="s">
        <v>116</v>
      </c>
      <c r="U73" s="16" t="s">
        <v>50</v>
      </c>
      <c r="V73" s="16" t="s">
        <v>51</v>
      </c>
      <c r="W73" s="16" t="s">
        <v>51</v>
      </c>
      <c r="X73" s="16" t="s">
        <v>50</v>
      </c>
      <c r="Y73" s="16" t="s">
        <v>51</v>
      </c>
      <c r="Z73" s="5" t="s">
        <v>75</v>
      </c>
      <c r="AA73" s="5"/>
      <c r="AB73" s="5"/>
      <c r="AC73" s="17">
        <v>3278609.2377999998</v>
      </c>
      <c r="AD73" s="17">
        <v>3187489.66</v>
      </c>
      <c r="AE73" s="17">
        <v>0</v>
      </c>
      <c r="AF73" s="17"/>
      <c r="AG73" s="17"/>
      <c r="AH73" s="18">
        <v>936.38200000000006</v>
      </c>
      <c r="AI73" s="11">
        <v>0</v>
      </c>
      <c r="AJ73" s="7" t="s">
        <v>69</v>
      </c>
      <c r="AK73" s="19">
        <v>-91119.577799999621</v>
      </c>
      <c r="AL73" s="11">
        <v>-2.7792143311699546E-2</v>
      </c>
      <c r="AM73" s="19">
        <f t="shared" si="1"/>
        <v>3404.0484118660975</v>
      </c>
    </row>
    <row r="74" spans="1:39" x14ac:dyDescent="0.25">
      <c r="A74" s="4">
        <v>46054</v>
      </c>
      <c r="B74" s="25" t="s">
        <v>287</v>
      </c>
      <c r="C74" s="5" t="s">
        <v>38</v>
      </c>
      <c r="D74" s="6" t="s">
        <v>344</v>
      </c>
      <c r="E74" s="7" t="s">
        <v>40</v>
      </c>
      <c r="F74" s="8" t="s">
        <v>235</v>
      </c>
      <c r="G74" s="8" t="s">
        <v>42</v>
      </c>
      <c r="H74" s="8" t="s">
        <v>43</v>
      </c>
      <c r="I74" s="9">
        <v>45931</v>
      </c>
      <c r="J74" s="9">
        <v>45991</v>
      </c>
      <c r="K74" s="10">
        <v>46062</v>
      </c>
      <c r="L74" s="7" t="s">
        <v>44</v>
      </c>
      <c r="M74" s="7" t="s">
        <v>58</v>
      </c>
      <c r="N74" s="11" t="s">
        <v>83</v>
      </c>
      <c r="O74" s="12" t="s">
        <v>109</v>
      </c>
      <c r="P74" s="13">
        <v>71</v>
      </c>
      <c r="Q74" s="14" t="s">
        <v>48</v>
      </c>
      <c r="R74" s="15" t="s">
        <v>83</v>
      </c>
      <c r="S74" s="15"/>
      <c r="T74" s="15" t="s">
        <v>116</v>
      </c>
      <c r="U74" s="16" t="s">
        <v>50</v>
      </c>
      <c r="V74" s="16" t="s">
        <v>51</v>
      </c>
      <c r="W74" s="16" t="s">
        <v>51</v>
      </c>
      <c r="X74" s="16" t="s">
        <v>50</v>
      </c>
      <c r="Y74" s="16" t="s">
        <v>51</v>
      </c>
      <c r="Z74" s="5" t="s">
        <v>75</v>
      </c>
      <c r="AA74" s="5"/>
      <c r="AB74" s="5"/>
      <c r="AC74" s="17">
        <v>1542129.4066999999</v>
      </c>
      <c r="AD74" s="17">
        <v>1622174.6700000002</v>
      </c>
      <c r="AE74" s="17">
        <v>66858.8</v>
      </c>
      <c r="AF74" s="17"/>
      <c r="AG74" s="17"/>
      <c r="AH74" s="18">
        <v>649.78315999999995</v>
      </c>
      <c r="AI74" s="11">
        <v>4.1215536918721582E-2</v>
      </c>
      <c r="AJ74" s="7" t="s">
        <v>54</v>
      </c>
      <c r="AK74" s="19">
        <v>80045.263300000224</v>
      </c>
      <c r="AL74" s="11">
        <v>5.1905672087071419E-2</v>
      </c>
      <c r="AM74" s="19">
        <f t="shared" si="1"/>
        <v>2599.3801839986131</v>
      </c>
    </row>
    <row r="75" spans="1:39" x14ac:dyDescent="0.25">
      <c r="A75" s="4">
        <v>46054</v>
      </c>
      <c r="B75" s="25" t="s">
        <v>334</v>
      </c>
      <c r="C75" s="5" t="s">
        <v>38</v>
      </c>
      <c r="D75" s="6" t="s">
        <v>335</v>
      </c>
      <c r="E75" s="7" t="s">
        <v>40</v>
      </c>
      <c r="F75" s="8" t="s">
        <v>336</v>
      </c>
      <c r="G75" s="8" t="s">
        <v>42</v>
      </c>
      <c r="H75" s="8" t="s">
        <v>43</v>
      </c>
      <c r="I75" s="9">
        <v>45979</v>
      </c>
      <c r="J75" s="9">
        <v>46068</v>
      </c>
      <c r="K75" s="9">
        <v>46068</v>
      </c>
      <c r="L75" s="7" t="s">
        <v>44</v>
      </c>
      <c r="M75" s="7" t="s">
        <v>173</v>
      </c>
      <c r="N75" s="11" t="s">
        <v>83</v>
      </c>
      <c r="O75" s="12" t="s">
        <v>109</v>
      </c>
      <c r="P75" s="13">
        <v>0</v>
      </c>
      <c r="Q75" s="14" t="s">
        <v>60</v>
      </c>
      <c r="R75" s="15" t="s">
        <v>83</v>
      </c>
      <c r="S75" s="15"/>
      <c r="T75" s="15" t="s">
        <v>116</v>
      </c>
      <c r="U75" s="16" t="s">
        <v>51</v>
      </c>
      <c r="V75" s="16" t="s">
        <v>51</v>
      </c>
      <c r="W75" s="16" t="s">
        <v>51</v>
      </c>
      <c r="X75" s="16" t="s">
        <v>50</v>
      </c>
      <c r="Y75" s="16" t="s">
        <v>50</v>
      </c>
      <c r="Z75" s="5" t="s">
        <v>75</v>
      </c>
      <c r="AA75" s="5"/>
      <c r="AB75" s="5"/>
      <c r="AC75" s="17">
        <v>2867929.4347999995</v>
      </c>
      <c r="AD75" s="17">
        <v>3196736.8300000005</v>
      </c>
      <c r="AE75" s="17">
        <v>134770</v>
      </c>
      <c r="AF75" s="17"/>
      <c r="AG75" s="17"/>
      <c r="AH75" s="18">
        <v>1325.1130000000001</v>
      </c>
      <c r="AI75" s="11">
        <v>4.2158615853279353E-2</v>
      </c>
      <c r="AJ75" s="7" t="s">
        <v>54</v>
      </c>
      <c r="AK75" s="19">
        <v>328807.39520000108</v>
      </c>
      <c r="AL75" s="11">
        <v>0.11464975086562101</v>
      </c>
      <c r="AM75" s="19">
        <f t="shared" si="1"/>
        <v>2514.1303647311593</v>
      </c>
    </row>
    <row r="76" spans="1:39" x14ac:dyDescent="0.25">
      <c r="A76" s="4">
        <v>46054</v>
      </c>
      <c r="B76" s="25" t="s">
        <v>337</v>
      </c>
      <c r="C76" s="5" t="s">
        <v>38</v>
      </c>
      <c r="D76" s="6" t="s">
        <v>338</v>
      </c>
      <c r="E76" s="7" t="s">
        <v>40</v>
      </c>
      <c r="F76" s="8" t="s">
        <v>339</v>
      </c>
      <c r="G76" s="8" t="s">
        <v>42</v>
      </c>
      <c r="H76" s="8" t="s">
        <v>43</v>
      </c>
      <c r="I76" s="9">
        <v>45975</v>
      </c>
      <c r="J76" s="9">
        <v>46065</v>
      </c>
      <c r="K76" s="9">
        <v>46065</v>
      </c>
      <c r="L76" s="7" t="s">
        <v>44</v>
      </c>
      <c r="M76" s="7" t="s">
        <v>259</v>
      </c>
      <c r="N76" s="11" t="s">
        <v>83</v>
      </c>
      <c r="O76" s="12" t="s">
        <v>109</v>
      </c>
      <c r="P76" s="13">
        <v>0</v>
      </c>
      <c r="Q76" s="14" t="s">
        <v>60</v>
      </c>
      <c r="R76" s="15" t="s">
        <v>83</v>
      </c>
      <c r="S76" s="15"/>
      <c r="T76" s="15" t="s">
        <v>116</v>
      </c>
      <c r="U76" s="16" t="s">
        <v>51</v>
      </c>
      <c r="V76" s="16" t="s">
        <v>51</v>
      </c>
      <c r="W76" s="16" t="s">
        <v>51</v>
      </c>
      <c r="X76" s="16" t="s">
        <v>50</v>
      </c>
      <c r="Y76" s="16" t="s">
        <v>50</v>
      </c>
      <c r="Z76" s="5" t="s">
        <v>75</v>
      </c>
      <c r="AA76" s="5"/>
      <c r="AB76" s="5"/>
      <c r="AC76" s="17">
        <v>1768899.8624</v>
      </c>
      <c r="AD76" s="17">
        <v>1899421.0699999998</v>
      </c>
      <c r="AE76" s="17">
        <v>0</v>
      </c>
      <c r="AF76" s="17"/>
      <c r="AG76" s="17"/>
      <c r="AH76" s="18">
        <v>838.42000000000007</v>
      </c>
      <c r="AI76" s="11">
        <v>0</v>
      </c>
      <c r="AJ76" s="7" t="s">
        <v>54</v>
      </c>
      <c r="AK76" s="19">
        <v>130521.20759999985</v>
      </c>
      <c r="AL76" s="11">
        <v>7.3786657105005204E-2</v>
      </c>
      <c r="AM76" s="19">
        <f t="shared" si="1"/>
        <v>2265.4768135302111</v>
      </c>
    </row>
    <row r="77" spans="1:39" x14ac:dyDescent="0.25">
      <c r="A77" s="4">
        <v>46054</v>
      </c>
      <c r="B77" s="25" t="s">
        <v>330</v>
      </c>
      <c r="C77" s="5" t="s">
        <v>38</v>
      </c>
      <c r="D77" s="6" t="s">
        <v>331</v>
      </c>
      <c r="E77" s="7" t="s">
        <v>40</v>
      </c>
      <c r="F77" s="8" t="s">
        <v>57</v>
      </c>
      <c r="G77" s="8" t="s">
        <v>42</v>
      </c>
      <c r="H77" s="8" t="s">
        <v>43</v>
      </c>
      <c r="I77" s="9">
        <v>45977</v>
      </c>
      <c r="J77" s="9">
        <v>46068</v>
      </c>
      <c r="K77" s="9">
        <v>46081</v>
      </c>
      <c r="L77" s="7" t="s">
        <v>44</v>
      </c>
      <c r="M77" s="7" t="s">
        <v>45</v>
      </c>
      <c r="N77" s="11" t="s">
        <v>83</v>
      </c>
      <c r="O77" s="12" t="s">
        <v>109</v>
      </c>
      <c r="P77" s="13">
        <v>13</v>
      </c>
      <c r="Q77" s="14" t="s">
        <v>60</v>
      </c>
      <c r="R77" s="15" t="s">
        <v>83</v>
      </c>
      <c r="S77" s="15"/>
      <c r="T77" s="15" t="s">
        <v>116</v>
      </c>
      <c r="U77" s="16" t="s">
        <v>51</v>
      </c>
      <c r="V77" s="16" t="s">
        <v>51</v>
      </c>
      <c r="W77" s="16" t="s">
        <v>51</v>
      </c>
      <c r="X77" s="16" t="s">
        <v>50</v>
      </c>
      <c r="Y77" s="16" t="s">
        <v>50</v>
      </c>
      <c r="Z77" s="5" t="s">
        <v>75</v>
      </c>
      <c r="AA77" s="5"/>
      <c r="AB77" s="5"/>
      <c r="AC77" s="17">
        <v>1223934.1058</v>
      </c>
      <c r="AD77" s="17">
        <v>1276630.1499999999</v>
      </c>
      <c r="AE77" s="17">
        <v>0</v>
      </c>
      <c r="AF77" s="17"/>
      <c r="AG77" s="17"/>
      <c r="AH77" s="18">
        <v>637.67999999999995</v>
      </c>
      <c r="AI77" s="11">
        <v>0</v>
      </c>
      <c r="AJ77" s="7" t="s">
        <v>54</v>
      </c>
      <c r="AK77" s="19">
        <v>52696.044199999887</v>
      </c>
      <c r="AL77" s="11">
        <v>4.3054641545066108E-2</v>
      </c>
      <c r="AM77" s="19">
        <f t="shared" si="1"/>
        <v>2001.9918297578722</v>
      </c>
    </row>
    <row r="78" spans="1:39" x14ac:dyDescent="0.25">
      <c r="A78" s="4">
        <v>46054</v>
      </c>
      <c r="B78" s="25" t="s">
        <v>264</v>
      </c>
      <c r="C78" s="5" t="s">
        <v>38</v>
      </c>
      <c r="D78" s="6" t="s">
        <v>343</v>
      </c>
      <c r="E78" s="7" t="s">
        <v>40</v>
      </c>
      <c r="F78" s="8" t="s">
        <v>57</v>
      </c>
      <c r="G78" s="8" t="s">
        <v>42</v>
      </c>
      <c r="H78" s="8" t="s">
        <v>43</v>
      </c>
      <c r="I78" s="9">
        <v>45800</v>
      </c>
      <c r="J78" s="9">
        <v>45991</v>
      </c>
      <c r="K78" s="10">
        <v>46073</v>
      </c>
      <c r="L78" s="7" t="s">
        <v>44</v>
      </c>
      <c r="M78" s="7" t="s">
        <v>45</v>
      </c>
      <c r="N78" s="11" t="s">
        <v>83</v>
      </c>
      <c r="O78" s="12" t="s">
        <v>109</v>
      </c>
      <c r="P78" s="13">
        <v>82</v>
      </c>
      <c r="Q78" s="14" t="s">
        <v>48</v>
      </c>
      <c r="R78" s="15" t="s">
        <v>83</v>
      </c>
      <c r="S78" s="15"/>
      <c r="T78" s="15" t="s">
        <v>116</v>
      </c>
      <c r="U78" s="16" t="s">
        <v>50</v>
      </c>
      <c r="V78" s="16" t="s">
        <v>51</v>
      </c>
      <c r="W78" s="16" t="s">
        <v>51</v>
      </c>
      <c r="X78" s="16" t="s">
        <v>50</v>
      </c>
      <c r="Y78" s="16" t="s">
        <v>51</v>
      </c>
      <c r="Z78" s="5" t="s">
        <v>75</v>
      </c>
      <c r="AA78" s="5"/>
      <c r="AB78" s="25" t="s">
        <v>264</v>
      </c>
      <c r="AC78" s="17">
        <v>5546969.5976999998</v>
      </c>
      <c r="AD78" s="17">
        <v>5828529.1469000001</v>
      </c>
      <c r="AE78" s="17">
        <v>229636.77000000002</v>
      </c>
      <c r="AF78" s="17"/>
      <c r="AG78" s="17"/>
      <c r="AH78" s="18">
        <v>3079</v>
      </c>
      <c r="AI78" s="11">
        <v>3.9398751247926099E-2</v>
      </c>
      <c r="AJ78" s="7" t="s">
        <v>54</v>
      </c>
      <c r="AK78" s="19">
        <v>281559.54920000024</v>
      </c>
      <c r="AL78" s="11">
        <v>5.0759165746418811E-2</v>
      </c>
      <c r="AM78" s="19">
        <f t="shared" si="1"/>
        <v>1967.575809321208</v>
      </c>
    </row>
    <row r="79" spans="1:39" x14ac:dyDescent="0.25">
      <c r="A79" s="4">
        <v>46054</v>
      </c>
      <c r="B79" s="25" t="s">
        <v>332</v>
      </c>
      <c r="C79" s="5" t="s">
        <v>38</v>
      </c>
      <c r="D79" s="6" t="s">
        <v>333</v>
      </c>
      <c r="E79" s="7" t="s">
        <v>40</v>
      </c>
      <c r="F79" s="8" t="s">
        <v>164</v>
      </c>
      <c r="G79" s="8" t="s">
        <v>165</v>
      </c>
      <c r="H79" s="8" t="s">
        <v>122</v>
      </c>
      <c r="I79" s="9">
        <v>45973</v>
      </c>
      <c r="J79" s="9">
        <v>46054</v>
      </c>
      <c r="K79" s="9">
        <v>46054</v>
      </c>
      <c r="L79" s="7" t="s">
        <v>44</v>
      </c>
      <c r="M79" s="7" t="s">
        <v>45</v>
      </c>
      <c r="N79" s="11" t="s">
        <v>83</v>
      </c>
      <c r="O79" s="12" t="s">
        <v>109</v>
      </c>
      <c r="P79" s="13">
        <v>0</v>
      </c>
      <c r="Q79" s="14" t="s">
        <v>60</v>
      </c>
      <c r="R79" s="15" t="s">
        <v>83</v>
      </c>
      <c r="S79" s="15"/>
      <c r="T79" s="15" t="s">
        <v>116</v>
      </c>
      <c r="U79" s="16" t="s">
        <v>51</v>
      </c>
      <c r="V79" s="16" t="s">
        <v>51</v>
      </c>
      <c r="W79" s="16" t="s">
        <v>51</v>
      </c>
      <c r="X79" s="16" t="s">
        <v>50</v>
      </c>
      <c r="Y79" s="16" t="s">
        <v>50</v>
      </c>
      <c r="Z79" s="5" t="s">
        <v>75</v>
      </c>
      <c r="AA79" s="5"/>
      <c r="AB79" s="5"/>
      <c r="AC79" s="17">
        <v>1362197.518775</v>
      </c>
      <c r="AD79" s="17">
        <v>1425611.5500000003</v>
      </c>
      <c r="AE79" s="17">
        <v>146218.79999999999</v>
      </c>
      <c r="AF79" s="17"/>
      <c r="AG79" s="17"/>
      <c r="AH79" s="18">
        <v>863.16000000000008</v>
      </c>
      <c r="AI79" s="11">
        <v>0.10256566734465637</v>
      </c>
      <c r="AJ79" s="7" t="s">
        <v>54</v>
      </c>
      <c r="AK79" s="19">
        <v>63414.031225000275</v>
      </c>
      <c r="AL79" s="11">
        <v>4.6552743160204413E-2</v>
      </c>
      <c r="AM79" s="19">
        <f t="shared" si="1"/>
        <v>1821.0185249548174</v>
      </c>
    </row>
    <row r="80" spans="1:39" x14ac:dyDescent="0.25">
      <c r="A80" s="4">
        <v>46054</v>
      </c>
      <c r="B80" s="25" t="s">
        <v>340</v>
      </c>
      <c r="C80" s="5" t="s">
        <v>38</v>
      </c>
      <c r="D80" s="6" t="s">
        <v>341</v>
      </c>
      <c r="E80" s="7" t="s">
        <v>40</v>
      </c>
      <c r="F80" s="8" t="s">
        <v>342</v>
      </c>
      <c r="G80" s="8" t="s">
        <v>42</v>
      </c>
      <c r="H80" s="8" t="s">
        <v>43</v>
      </c>
      <c r="I80" s="9">
        <v>45994</v>
      </c>
      <c r="J80" s="9">
        <v>46081</v>
      </c>
      <c r="K80" s="9">
        <v>46081</v>
      </c>
      <c r="L80" s="7" t="s">
        <v>44</v>
      </c>
      <c r="M80" s="7" t="s">
        <v>173</v>
      </c>
      <c r="N80" s="11" t="s">
        <v>83</v>
      </c>
      <c r="O80" s="12" t="s">
        <v>109</v>
      </c>
      <c r="P80" s="13">
        <v>0</v>
      </c>
      <c r="Q80" s="14" t="s">
        <v>60</v>
      </c>
      <c r="R80" s="15" t="s">
        <v>83</v>
      </c>
      <c r="S80" s="15"/>
      <c r="T80" s="15" t="s">
        <v>116</v>
      </c>
      <c r="U80" s="16" t="s">
        <v>51</v>
      </c>
      <c r="V80" s="16" t="s">
        <v>51</v>
      </c>
      <c r="W80" s="16" t="s">
        <v>51</v>
      </c>
      <c r="X80" s="16" t="s">
        <v>50</v>
      </c>
      <c r="Y80" s="16" t="s">
        <v>50</v>
      </c>
      <c r="Z80" s="5" t="s">
        <v>75</v>
      </c>
      <c r="AA80" s="5"/>
      <c r="AB80" s="5"/>
      <c r="AC80" s="17">
        <v>1067580.7330999998</v>
      </c>
      <c r="AD80" s="17">
        <v>1126607.83</v>
      </c>
      <c r="AE80" s="17">
        <v>0</v>
      </c>
      <c r="AF80" s="17"/>
      <c r="AG80" s="17"/>
      <c r="AH80" s="18">
        <v>885.5</v>
      </c>
      <c r="AI80" s="11">
        <v>0</v>
      </c>
      <c r="AJ80" s="7" t="s">
        <v>54</v>
      </c>
      <c r="AK80" s="19">
        <v>59027.096900000237</v>
      </c>
      <c r="AL80" s="11">
        <v>5.5290522833434386E-2</v>
      </c>
      <c r="AM80" s="19">
        <f t="shared" si="1"/>
        <v>1272.2843929983062</v>
      </c>
    </row>
    <row r="81" spans="1:39" x14ac:dyDescent="0.25">
      <c r="A81" s="4">
        <v>46082</v>
      </c>
      <c r="B81" s="25" t="s">
        <v>347</v>
      </c>
      <c r="C81" s="5" t="s">
        <v>38</v>
      </c>
      <c r="D81" s="6" t="s">
        <v>348</v>
      </c>
      <c r="E81" s="7" t="s">
        <v>40</v>
      </c>
      <c r="F81" s="8" t="s">
        <v>349</v>
      </c>
      <c r="G81" s="8" t="s">
        <v>307</v>
      </c>
      <c r="H81" s="8" t="s">
        <v>114</v>
      </c>
      <c r="I81" s="9">
        <v>45981</v>
      </c>
      <c r="J81" s="9">
        <v>46112</v>
      </c>
      <c r="K81" s="9">
        <v>46112</v>
      </c>
      <c r="L81" s="7" t="s">
        <v>44</v>
      </c>
      <c r="M81" s="7" t="s">
        <v>45</v>
      </c>
      <c r="N81" s="11" t="s">
        <v>83</v>
      </c>
      <c r="O81" s="12" t="s">
        <v>74</v>
      </c>
      <c r="P81" s="13">
        <v>0</v>
      </c>
      <c r="Q81" s="14" t="s">
        <v>60</v>
      </c>
      <c r="R81" s="15" t="s">
        <v>83</v>
      </c>
      <c r="S81" s="15"/>
      <c r="T81" s="15" t="s">
        <v>116</v>
      </c>
      <c r="U81" s="16" t="s">
        <v>51</v>
      </c>
      <c r="V81" s="16" t="s">
        <v>51</v>
      </c>
      <c r="W81" s="16" t="s">
        <v>51</v>
      </c>
      <c r="X81" s="16" t="s">
        <v>50</v>
      </c>
      <c r="Y81" s="16" t="s">
        <v>50</v>
      </c>
      <c r="Z81" s="5" t="s">
        <v>68</v>
      </c>
      <c r="AA81" s="5"/>
      <c r="AB81" s="5"/>
      <c r="AC81" s="17">
        <v>1878873.4086000002</v>
      </c>
      <c r="AD81" s="17">
        <v>1881630.9250000003</v>
      </c>
      <c r="AE81" s="17">
        <v>164940.13</v>
      </c>
      <c r="AF81" s="17"/>
      <c r="AG81" s="17"/>
      <c r="AH81" s="18">
        <v>864.01400000000012</v>
      </c>
      <c r="AI81" s="11">
        <v>8.7658067163197795E-2</v>
      </c>
      <c r="AJ81" s="7" t="s">
        <v>54</v>
      </c>
      <c r="AK81" s="19">
        <v>2757.5164000000805</v>
      </c>
      <c r="AL81" s="11">
        <v>1.4676435290308376E-3</v>
      </c>
      <c r="AM81" s="19">
        <f t="shared" si="1"/>
        <v>2368.6781174842072</v>
      </c>
    </row>
    <row r="82" spans="1:39" x14ac:dyDescent="0.25">
      <c r="A82" s="4">
        <v>46113</v>
      </c>
      <c r="B82" s="25" t="s">
        <v>351</v>
      </c>
      <c r="C82" s="5" t="s">
        <v>38</v>
      </c>
      <c r="D82" s="6" t="s">
        <v>352</v>
      </c>
      <c r="E82" s="7" t="s">
        <v>40</v>
      </c>
      <c r="F82" s="8" t="s">
        <v>134</v>
      </c>
      <c r="G82" s="8" t="s">
        <v>135</v>
      </c>
      <c r="H82" s="8" t="s">
        <v>114</v>
      </c>
      <c r="I82" s="9">
        <v>46051</v>
      </c>
      <c r="J82" s="9">
        <v>46141</v>
      </c>
      <c r="K82" s="9">
        <v>46141</v>
      </c>
      <c r="L82" s="7" t="s">
        <v>44</v>
      </c>
      <c r="M82" s="8" t="s">
        <v>45</v>
      </c>
      <c r="N82" s="8" t="s">
        <v>83</v>
      </c>
      <c r="O82" s="12" t="s">
        <v>350</v>
      </c>
      <c r="P82" s="13">
        <v>0</v>
      </c>
      <c r="Q82" s="14" t="s">
        <v>60</v>
      </c>
      <c r="R82" s="15" t="s">
        <v>83</v>
      </c>
      <c r="S82" s="15"/>
      <c r="T82" s="15" t="s">
        <v>116</v>
      </c>
      <c r="U82" s="16" t="s">
        <v>51</v>
      </c>
      <c r="V82" s="16" t="s">
        <v>51</v>
      </c>
      <c r="W82" s="16" t="s">
        <v>51</v>
      </c>
      <c r="X82" s="16" t="s">
        <v>50</v>
      </c>
      <c r="Y82" s="16" t="s">
        <v>50</v>
      </c>
      <c r="Z82" s="5" t="s">
        <v>68</v>
      </c>
      <c r="AA82" s="5"/>
      <c r="AB82" s="5"/>
      <c r="AC82" s="17">
        <v>1404570.1820000003</v>
      </c>
      <c r="AD82" s="17">
        <v>1399213.2</v>
      </c>
      <c r="AE82" s="17">
        <v>0</v>
      </c>
      <c r="AF82" s="17">
        <v>1399213.2</v>
      </c>
      <c r="AG82" s="17"/>
      <c r="AH82" s="18">
        <v>502</v>
      </c>
      <c r="AI82" s="11">
        <v>0</v>
      </c>
      <c r="AJ82" s="7" t="s">
        <v>69</v>
      </c>
      <c r="AK82" s="19">
        <v>-5356.9820000003092</v>
      </c>
      <c r="AL82" s="11">
        <v>-3.8139653458770795E-3</v>
      </c>
      <c r="AM82" s="19">
        <f t="shared" si="1"/>
        <v>2787.2772908366533</v>
      </c>
    </row>
    <row r="83" spans="1:39" x14ac:dyDescent="0.25">
      <c r="A83" s="4">
        <v>46143</v>
      </c>
      <c r="B83" s="25" t="s">
        <v>353</v>
      </c>
      <c r="C83" s="5" t="s">
        <v>38</v>
      </c>
      <c r="D83" s="6" t="s">
        <v>354</v>
      </c>
      <c r="E83" s="7" t="s">
        <v>40</v>
      </c>
      <c r="F83" s="8" t="s">
        <v>355</v>
      </c>
      <c r="G83" s="8" t="s">
        <v>135</v>
      </c>
      <c r="H83" s="8" t="s">
        <v>114</v>
      </c>
      <c r="I83" s="9">
        <v>46049</v>
      </c>
      <c r="J83" s="9">
        <v>46162</v>
      </c>
      <c r="K83" s="9">
        <v>46162</v>
      </c>
      <c r="L83" s="7" t="s">
        <v>44</v>
      </c>
      <c r="M83" s="7" t="s">
        <v>58</v>
      </c>
      <c r="N83" s="11" t="s">
        <v>83</v>
      </c>
      <c r="O83" s="12" t="s">
        <v>356</v>
      </c>
      <c r="P83" s="13">
        <v>0</v>
      </c>
      <c r="Q83" s="14" t="s">
        <v>60</v>
      </c>
      <c r="R83" s="15" t="s">
        <v>83</v>
      </c>
      <c r="S83" s="15"/>
      <c r="T83" s="15" t="s">
        <v>116</v>
      </c>
      <c r="U83" s="16" t="s">
        <v>51</v>
      </c>
      <c r="V83" s="16" t="s">
        <v>51</v>
      </c>
      <c r="W83" s="16" t="s">
        <v>51</v>
      </c>
      <c r="X83" s="16" t="s">
        <v>50</v>
      </c>
      <c r="Y83" s="16" t="s">
        <v>50</v>
      </c>
      <c r="Z83" s="5" t="s">
        <v>68</v>
      </c>
      <c r="AA83" s="5"/>
      <c r="AB83" s="5"/>
      <c r="AC83" s="17">
        <v>1792460.6630000002</v>
      </c>
      <c r="AD83" s="17">
        <v>1966429.352</v>
      </c>
      <c r="AE83" s="17">
        <v>15405.82</v>
      </c>
      <c r="AF83" s="17"/>
      <c r="AG83" s="17"/>
      <c r="AH83" s="18">
        <v>742.75</v>
      </c>
      <c r="AI83" s="11">
        <v>7.834413163295785E-3</v>
      </c>
      <c r="AJ83" s="7" t="s">
        <v>54</v>
      </c>
      <c r="AK83" s="19">
        <v>173968.68899999978</v>
      </c>
      <c r="AL83" s="11">
        <v>9.705579184584856E-2</v>
      </c>
      <c r="AM83" s="19">
        <f t="shared" si="1"/>
        <v>2668.2398815213733</v>
      </c>
    </row>
    <row r="84" spans="1:39" x14ac:dyDescent="0.25">
      <c r="A84" s="4">
        <v>46143</v>
      </c>
      <c r="B84" s="25" t="s">
        <v>360</v>
      </c>
      <c r="C84" s="5" t="s">
        <v>38</v>
      </c>
      <c r="D84" s="6" t="s">
        <v>361</v>
      </c>
      <c r="E84" s="7" t="s">
        <v>40</v>
      </c>
      <c r="F84" s="8" t="s">
        <v>362</v>
      </c>
      <c r="G84" s="8" t="s">
        <v>42</v>
      </c>
      <c r="H84" s="8" t="s">
        <v>43</v>
      </c>
      <c r="I84" s="9">
        <v>46077</v>
      </c>
      <c r="J84" s="9">
        <v>46167</v>
      </c>
      <c r="K84" s="30">
        <v>46167</v>
      </c>
      <c r="L84" s="7" t="s">
        <v>44</v>
      </c>
      <c r="M84" s="7" t="s">
        <v>259</v>
      </c>
      <c r="N84" s="11" t="s">
        <v>83</v>
      </c>
      <c r="O84" s="12" t="s">
        <v>356</v>
      </c>
      <c r="P84" s="13">
        <v>0</v>
      </c>
      <c r="Q84" s="14" t="s">
        <v>60</v>
      </c>
      <c r="R84" s="15" t="s">
        <v>83</v>
      </c>
      <c r="S84" s="15"/>
      <c r="T84" s="15" t="s">
        <v>116</v>
      </c>
      <c r="U84" s="16" t="s">
        <v>51</v>
      </c>
      <c r="V84" s="16" t="s">
        <v>51</v>
      </c>
      <c r="W84" s="16" t="s">
        <v>51</v>
      </c>
      <c r="X84" s="16" t="s">
        <v>50</v>
      </c>
      <c r="Y84" s="16" t="s">
        <v>50</v>
      </c>
      <c r="Z84" s="5" t="s">
        <v>75</v>
      </c>
      <c r="AA84" s="5"/>
      <c r="AB84" s="5"/>
      <c r="AC84" s="17">
        <v>1477587.2399999998</v>
      </c>
      <c r="AD84" s="17">
        <v>1573785.68</v>
      </c>
      <c r="AE84" s="17">
        <v>15751.5</v>
      </c>
      <c r="AF84" s="17"/>
      <c r="AG84" s="17"/>
      <c r="AH84" s="18">
        <v>792.09</v>
      </c>
      <c r="AI84" s="11">
        <v>1.0008669033003275E-2</v>
      </c>
      <c r="AJ84" s="7" t="s">
        <v>54</v>
      </c>
      <c r="AK84" s="19">
        <v>96198.440000000177</v>
      </c>
      <c r="AL84" s="11">
        <v>6.5105083067718006E-2</v>
      </c>
      <c r="AM84" s="19">
        <f t="shared" si="1"/>
        <v>2006.7633475993889</v>
      </c>
    </row>
    <row r="85" spans="1:39" x14ac:dyDescent="0.25">
      <c r="A85" s="4">
        <v>46143</v>
      </c>
      <c r="B85" s="25" t="s">
        <v>363</v>
      </c>
      <c r="C85" s="5" t="s">
        <v>38</v>
      </c>
      <c r="D85" s="6" t="s">
        <v>364</v>
      </c>
      <c r="E85" s="7" t="s">
        <v>40</v>
      </c>
      <c r="F85" s="8" t="s">
        <v>226</v>
      </c>
      <c r="G85" s="8" t="s">
        <v>227</v>
      </c>
      <c r="H85" s="8" t="s">
        <v>102</v>
      </c>
      <c r="I85" s="9">
        <v>46077</v>
      </c>
      <c r="J85" s="9">
        <v>46167</v>
      </c>
      <c r="K85" s="9">
        <v>46167</v>
      </c>
      <c r="L85" s="7" t="s">
        <v>44</v>
      </c>
      <c r="M85" s="7" t="s">
        <v>301</v>
      </c>
      <c r="N85" s="11" t="s">
        <v>83</v>
      </c>
      <c r="O85" s="12" t="s">
        <v>356</v>
      </c>
      <c r="P85" s="13">
        <v>0</v>
      </c>
      <c r="Q85" s="14" t="s">
        <v>60</v>
      </c>
      <c r="R85" s="15" t="s">
        <v>83</v>
      </c>
      <c r="S85" s="15"/>
      <c r="T85" s="15" t="s">
        <v>116</v>
      </c>
      <c r="U85" s="16" t="s">
        <v>51</v>
      </c>
      <c r="V85" s="16" t="s">
        <v>51</v>
      </c>
      <c r="W85" s="16" t="s">
        <v>51</v>
      </c>
      <c r="X85" s="16" t="s">
        <v>50</v>
      </c>
      <c r="Y85" s="16" t="s">
        <v>50</v>
      </c>
      <c r="Z85" s="5" t="s">
        <v>68</v>
      </c>
      <c r="AA85" s="5"/>
      <c r="AB85" s="5"/>
      <c r="AC85" s="17">
        <v>1594655.33</v>
      </c>
      <c r="AD85" s="17">
        <v>1536780.8536999999</v>
      </c>
      <c r="AE85" s="17">
        <v>61730.94</v>
      </c>
      <c r="AF85" s="17"/>
      <c r="AG85" s="17"/>
      <c r="AH85" s="18">
        <v>822.63</v>
      </c>
      <c r="AI85" s="11">
        <v>4.0168993419832585E-2</v>
      </c>
      <c r="AJ85" s="7" t="s">
        <v>69</v>
      </c>
      <c r="AK85" s="19">
        <v>-57874.476300000213</v>
      </c>
      <c r="AL85" s="11">
        <v>-3.6292780772883559E-2</v>
      </c>
      <c r="AM85" s="19">
        <f t="shared" si="1"/>
        <v>1943.1722569077226</v>
      </c>
    </row>
    <row r="86" spans="1:39" x14ac:dyDescent="0.25">
      <c r="A86" s="4">
        <v>46143</v>
      </c>
      <c r="B86" s="25" t="s">
        <v>365</v>
      </c>
      <c r="C86" s="5" t="s">
        <v>38</v>
      </c>
      <c r="D86" s="6" t="s">
        <v>366</v>
      </c>
      <c r="E86" s="7" t="s">
        <v>40</v>
      </c>
      <c r="F86" s="8" t="s">
        <v>57</v>
      </c>
      <c r="G86" s="8" t="s">
        <v>42</v>
      </c>
      <c r="H86" s="8" t="s">
        <v>43</v>
      </c>
      <c r="I86" s="9">
        <v>46066</v>
      </c>
      <c r="J86" s="9">
        <v>46156</v>
      </c>
      <c r="K86" s="9">
        <v>46156</v>
      </c>
      <c r="L86" s="7" t="s">
        <v>44</v>
      </c>
      <c r="M86" s="7" t="s">
        <v>45</v>
      </c>
      <c r="N86" s="11" t="s">
        <v>83</v>
      </c>
      <c r="O86" s="12" t="s">
        <v>356</v>
      </c>
      <c r="P86" s="13">
        <v>0</v>
      </c>
      <c r="Q86" s="14" t="s">
        <v>60</v>
      </c>
      <c r="R86" s="15" t="s">
        <v>83</v>
      </c>
      <c r="S86" s="15"/>
      <c r="T86" s="15" t="s">
        <v>116</v>
      </c>
      <c r="U86" s="16" t="s">
        <v>51</v>
      </c>
      <c r="V86" s="16" t="s">
        <v>50</v>
      </c>
      <c r="W86" s="16" t="s">
        <v>50</v>
      </c>
      <c r="X86" s="16" t="s">
        <v>50</v>
      </c>
      <c r="Y86" s="16" t="s">
        <v>51</v>
      </c>
      <c r="Z86" s="5" t="s">
        <v>75</v>
      </c>
      <c r="AA86" s="5"/>
      <c r="AB86" s="5"/>
      <c r="AC86" s="17">
        <v>610796.15</v>
      </c>
      <c r="AD86" s="17">
        <v>732467.42</v>
      </c>
      <c r="AE86" s="17">
        <v>0</v>
      </c>
      <c r="AF86" s="17"/>
      <c r="AG86" s="17"/>
      <c r="AH86" s="18">
        <v>409.14</v>
      </c>
      <c r="AI86" s="11">
        <v>0</v>
      </c>
      <c r="AJ86" s="7" t="s">
        <v>54</v>
      </c>
      <c r="AK86" s="19">
        <v>121671.27000000002</v>
      </c>
      <c r="AL86" s="11">
        <v>0.19920110825845905</v>
      </c>
      <c r="AM86" s="19">
        <f t="shared" si="1"/>
        <v>1790.2610842254487</v>
      </c>
    </row>
    <row r="87" spans="1:39" x14ac:dyDescent="0.25">
      <c r="A87" s="4">
        <v>46143</v>
      </c>
      <c r="B87" s="25" t="s">
        <v>357</v>
      </c>
      <c r="C87" s="5" t="s">
        <v>38</v>
      </c>
      <c r="D87" s="6" t="s">
        <v>358</v>
      </c>
      <c r="E87" s="7" t="s">
        <v>40</v>
      </c>
      <c r="F87" s="8" t="s">
        <v>359</v>
      </c>
      <c r="G87" s="8" t="s">
        <v>42</v>
      </c>
      <c r="H87" s="8" t="s">
        <v>43</v>
      </c>
      <c r="I87" s="9">
        <v>46073</v>
      </c>
      <c r="J87" s="9">
        <v>46163</v>
      </c>
      <c r="K87" s="9">
        <v>46163</v>
      </c>
      <c r="L87" s="7" t="s">
        <v>44</v>
      </c>
      <c r="M87" s="7" t="s">
        <v>45</v>
      </c>
      <c r="N87" s="11" t="s">
        <v>83</v>
      </c>
      <c r="O87" s="12" t="s">
        <v>356</v>
      </c>
      <c r="P87" s="13">
        <v>0</v>
      </c>
      <c r="Q87" s="14" t="s">
        <v>60</v>
      </c>
      <c r="R87" s="15" t="s">
        <v>83</v>
      </c>
      <c r="S87" s="15"/>
      <c r="T87" s="15" t="s">
        <v>116</v>
      </c>
      <c r="U87" s="16" t="s">
        <v>51</v>
      </c>
      <c r="V87" s="16" t="s">
        <v>51</v>
      </c>
      <c r="W87" s="16" t="s">
        <v>51</v>
      </c>
      <c r="X87" s="16" t="s">
        <v>50</v>
      </c>
      <c r="Y87" s="16" t="s">
        <v>50</v>
      </c>
      <c r="Z87" s="5" t="s">
        <v>75</v>
      </c>
      <c r="AA87" s="5"/>
      <c r="AB87" s="5"/>
      <c r="AC87" s="17">
        <v>1380589.3155999999</v>
      </c>
      <c r="AD87" s="17">
        <v>1342485.51</v>
      </c>
      <c r="AE87" s="17">
        <v>1710.06</v>
      </c>
      <c r="AF87" s="17"/>
      <c r="AG87" s="17"/>
      <c r="AH87" s="18">
        <v>1188.8499999999999</v>
      </c>
      <c r="AI87" s="11">
        <v>1.2738014580135021E-3</v>
      </c>
      <c r="AJ87" s="7" t="s">
        <v>69</v>
      </c>
      <c r="AK87" s="19">
        <v>-38103.805599999847</v>
      </c>
      <c r="AL87" s="11">
        <v>-2.7599667163467845E-2</v>
      </c>
      <c r="AM87" s="19">
        <f t="shared" si="1"/>
        <v>1130.6687723430207</v>
      </c>
    </row>
    <row r="88" spans="1:39" x14ac:dyDescent="0.25">
      <c r="A88" s="4">
        <v>46204</v>
      </c>
      <c r="B88" s="25" t="s">
        <v>372</v>
      </c>
      <c r="C88" s="5" t="s">
        <v>38</v>
      </c>
      <c r="D88" s="6" t="s">
        <v>373</v>
      </c>
      <c r="E88" s="7" t="s">
        <v>40</v>
      </c>
      <c r="F88" s="8" t="s">
        <v>139</v>
      </c>
      <c r="G88" s="8" t="s">
        <v>140</v>
      </c>
      <c r="H88" s="8" t="s">
        <v>114</v>
      </c>
      <c r="I88" s="9">
        <v>46142</v>
      </c>
      <c r="J88" s="9">
        <v>46217</v>
      </c>
      <c r="K88" s="9">
        <v>46217</v>
      </c>
      <c r="L88" s="7" t="s">
        <v>44</v>
      </c>
      <c r="M88" s="8" t="s">
        <v>130</v>
      </c>
      <c r="N88" s="8" t="s">
        <v>374</v>
      </c>
      <c r="O88" s="12" t="s">
        <v>371</v>
      </c>
      <c r="P88" s="13">
        <v>0</v>
      </c>
      <c r="Q88" s="14" t="s">
        <v>60</v>
      </c>
      <c r="R88" s="15" t="s">
        <v>83</v>
      </c>
      <c r="S88" s="15"/>
      <c r="T88" s="15" t="s">
        <v>116</v>
      </c>
      <c r="U88" s="16" t="s">
        <v>51</v>
      </c>
      <c r="V88" s="16" t="s">
        <v>51</v>
      </c>
      <c r="W88" s="16" t="s">
        <v>51</v>
      </c>
      <c r="X88" s="16" t="s">
        <v>50</v>
      </c>
      <c r="Y88" s="16" t="s">
        <v>50</v>
      </c>
      <c r="Z88" s="5" t="s">
        <v>146</v>
      </c>
      <c r="AA88" s="5"/>
      <c r="AB88" s="5"/>
      <c r="AC88" s="17">
        <v>248870.83000000002</v>
      </c>
      <c r="AD88" s="17">
        <v>243995.19</v>
      </c>
      <c r="AE88" s="17">
        <v>1800</v>
      </c>
      <c r="AF88" s="17">
        <v>245795.19</v>
      </c>
      <c r="AG88" s="17"/>
      <c r="AH88" s="18">
        <v>158.97999999999999</v>
      </c>
      <c r="AI88" s="11">
        <v>7.377194607811736E-3</v>
      </c>
      <c r="AJ88" s="7" t="s">
        <v>69</v>
      </c>
      <c r="AK88" s="19">
        <v>-4875.640000000014</v>
      </c>
      <c r="AL88" s="11">
        <v>-1.9591046487850816E-2</v>
      </c>
      <c r="AM88" s="19">
        <f t="shared" si="1"/>
        <v>1546.0761731035352</v>
      </c>
    </row>
    <row r="89" spans="1:39" x14ac:dyDescent="0.25">
      <c r="A89" s="4">
        <v>46204</v>
      </c>
      <c r="B89" s="25" t="s">
        <v>367</v>
      </c>
      <c r="C89" s="5" t="s">
        <v>38</v>
      </c>
      <c r="D89" s="6" t="s">
        <v>368</v>
      </c>
      <c r="E89" s="7" t="s">
        <v>40</v>
      </c>
      <c r="F89" s="8" t="s">
        <v>369</v>
      </c>
      <c r="G89" s="8" t="s">
        <v>101</v>
      </c>
      <c r="H89" s="8" t="s">
        <v>102</v>
      </c>
      <c r="I89" s="9">
        <v>46142</v>
      </c>
      <c r="J89" s="9">
        <v>46232</v>
      </c>
      <c r="K89" s="9">
        <v>46224</v>
      </c>
      <c r="L89" s="7" t="s">
        <v>44</v>
      </c>
      <c r="M89" s="8" t="s">
        <v>130</v>
      </c>
      <c r="N89" s="8" t="s">
        <v>370</v>
      </c>
      <c r="O89" s="12" t="s">
        <v>371</v>
      </c>
      <c r="P89" s="13">
        <v>-8</v>
      </c>
      <c r="Q89" s="14" t="s">
        <v>60</v>
      </c>
      <c r="R89" s="15" t="s">
        <v>83</v>
      </c>
      <c r="S89" s="15"/>
      <c r="T89" s="15" t="s">
        <v>116</v>
      </c>
      <c r="U89" s="16" t="s">
        <v>51</v>
      </c>
      <c r="V89" s="16" t="s">
        <v>51</v>
      </c>
      <c r="W89" s="16" t="s">
        <v>51</v>
      </c>
      <c r="X89" s="16" t="s">
        <v>50</v>
      </c>
      <c r="Y89" s="16" t="s">
        <v>50</v>
      </c>
      <c r="Z89" s="5" t="s">
        <v>68</v>
      </c>
      <c r="AA89" s="5"/>
      <c r="AB89" s="5"/>
      <c r="AC89" s="17">
        <v>369854.45360000001</v>
      </c>
      <c r="AD89" s="17">
        <v>370202.49</v>
      </c>
      <c r="AE89" s="17">
        <v>20445.490000000002</v>
      </c>
      <c r="AF89" s="17">
        <v>390647.98</v>
      </c>
      <c r="AG89" s="17"/>
      <c r="AH89" s="18">
        <v>288.32</v>
      </c>
      <c r="AI89" s="11">
        <v>5.5227856517118513E-2</v>
      </c>
      <c r="AJ89" s="7" t="s">
        <v>54</v>
      </c>
      <c r="AK89" s="19">
        <v>348.03639999998268</v>
      </c>
      <c r="AL89" s="11">
        <v>9.4100908239003189E-4</v>
      </c>
      <c r="AM89" s="19">
        <f t="shared" si="1"/>
        <v>1354.911140399556</v>
      </c>
    </row>
  </sheetData>
  <autoFilter ref="A3:AM89" xr:uid="{81B6E034-09CF-4A69-91A6-F1FACA1239A3}">
    <sortState xmlns:xlrd2="http://schemas.microsoft.com/office/spreadsheetml/2017/richdata2" ref="A4:AM89">
      <sortCondition ref="A3:A89"/>
    </sortState>
  </autoFilter>
  <conditionalFormatting sqref="B82:B89 B3:B6">
    <cfRule type="duplicateValues" dxfId="24" priority="21"/>
    <cfRule type="duplicateValues" dxfId="23" priority="22"/>
    <cfRule type="duplicateValues" dxfId="22" priority="25"/>
  </conditionalFormatting>
  <conditionalFormatting sqref="Q3:Q89">
    <cfRule type="cellIs" dxfId="21" priority="23" operator="equal">
      <formula>"Concluída com Atraso"</formula>
    </cfRule>
    <cfRule type="cellIs" dxfId="20" priority="24" operator="equal">
      <formula>"Não Concluída"</formula>
    </cfRule>
  </conditionalFormatting>
  <conditionalFormatting sqref="U78:AA78 U79:AB89 C28:E89 F20:K24 M19:N24 C4:E26 U4:AB77">
    <cfRule type="cellIs" dxfId="19" priority="20" operator="equal">
      <formula>"NÃO"</formula>
    </cfRule>
  </conditionalFormatting>
  <conditionalFormatting sqref="X5:Y5">
    <cfRule type="cellIs" dxfId="18" priority="19" operator="equal">
      <formula>"NÃO"</formula>
    </cfRule>
  </conditionalFormatting>
  <conditionalFormatting sqref="Z78:AA78 Z79:AB89 F45:H55 Z4:AB77 L4:L89">
    <cfRule type="cellIs" dxfId="17" priority="14" operator="equal">
      <formula>"Em atraso"</formula>
    </cfRule>
    <cfRule type="cellIs" dxfId="16" priority="15" operator="equal">
      <formula>"A iniciar"</formula>
    </cfRule>
    <cfRule type="cellIs" dxfId="15" priority="16" operator="equal">
      <formula>"Em andamento"</formula>
    </cfRule>
    <cfRule type="cellIs" dxfId="14" priority="17" operator="equal">
      <formula>"Concluída"</formula>
    </cfRule>
  </conditionalFormatting>
  <conditionalFormatting sqref="AI4:AI89 AL4:AL89">
    <cfRule type="cellIs" dxfId="13" priority="18" operator="greaterThanOrEqual">
      <formula>0.05</formula>
    </cfRule>
  </conditionalFormatting>
  <conditionalFormatting sqref="AJ4:AJ89">
    <cfRule type="cellIs" dxfId="12" priority="13" operator="equal">
      <formula>"Maior"</formula>
    </cfRule>
  </conditionalFormatting>
  <conditionalFormatting sqref="Y6:Y7">
    <cfRule type="cellIs" dxfId="11" priority="12" operator="equal">
      <formula>"NÃO"</formula>
    </cfRule>
  </conditionalFormatting>
  <conditionalFormatting sqref="F19:K19">
    <cfRule type="cellIs" dxfId="10" priority="11" operator="equal">
      <formula>"NÃO"</formula>
    </cfRule>
  </conditionalFormatting>
  <conditionalFormatting sqref="C27:K27">
    <cfRule type="cellIs" dxfId="9" priority="10" operator="equal">
      <formula>"NÃO"</formula>
    </cfRule>
  </conditionalFormatting>
  <conditionalFormatting sqref="M27:N27">
    <cfRule type="cellIs" dxfId="8" priority="9" operator="equal">
      <formula>"NÃO"</formula>
    </cfRule>
  </conditionalFormatting>
  <conditionalFormatting sqref="M30:N31">
    <cfRule type="cellIs" dxfId="7" priority="5" operator="equal">
      <formula>"Em atraso"</formula>
    </cfRule>
    <cfRule type="cellIs" dxfId="6" priority="6" operator="equal">
      <formula>"A iniciar"</formula>
    </cfRule>
    <cfRule type="cellIs" dxfId="5" priority="7" operator="equal">
      <formula>"Em andamento"</formula>
    </cfRule>
    <cfRule type="cellIs" dxfId="4" priority="8" operator="equal">
      <formula>"Concluída"</formula>
    </cfRule>
  </conditionalFormatting>
  <conditionalFormatting sqref="N32:N34">
    <cfRule type="cellIs" dxfId="3" priority="1" operator="equal">
      <formula>"Em atraso"</formula>
    </cfRule>
    <cfRule type="cellIs" dxfId="2" priority="2" operator="equal">
      <formula>"A iniciar"</formula>
    </cfRule>
    <cfRule type="cellIs" dxfId="1" priority="3" operator="equal">
      <formula>"Em andamento"</formula>
    </cfRule>
    <cfRule type="cellIs" dxfId="0" priority="4" operator="equal">
      <formula>"Concluída"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Hospitais</vt:lpstr>
      <vt:lpstr>Pronto Atendimento</vt:lpstr>
      <vt:lpstr>Clínicas, Diagnósticos, TEA e 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THALLES DAVIDY GONDIN DA SILVEIRA</dc:creator>
  <cp:lastModifiedBy>THALLES DAVIDY GONDIN DA SILVEIRA</cp:lastModifiedBy>
  <dcterms:created xsi:type="dcterms:W3CDTF">2026-08-17T11:29:06Z</dcterms:created>
  <dcterms:modified xsi:type="dcterms:W3CDTF">2026-08-17T14:52:31Z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648805-0676-427f-8b3f-8deff0dc1a0a_Enabled">
    <vt:lpwstr>true</vt:lpwstr>
  </property>
  <property fmtid="{D5CDD505-2E9C-101B-9397-08002B2CF9AE}" pid="3" name="MSIP_Label_f6648805-0676-427f-8b3f-8deff0dc1a0a_SetDate">
    <vt:lpwstr>2026-08-17T11:31:50Z</vt:lpwstr>
  </property>
  <property fmtid="{D5CDD505-2E9C-101B-9397-08002B2CF9AE}" pid="4" name="MSIP_Label_f6648805-0676-427f-8b3f-8deff0dc1a0a_Method">
    <vt:lpwstr>Privileged</vt:lpwstr>
  </property>
  <property fmtid="{D5CDD505-2E9C-101B-9397-08002B2CF9AE}" pid="5" name="MSIP_Label_f6648805-0676-427f-8b3f-8deff0dc1a0a_Name">
    <vt:lpwstr>Público</vt:lpwstr>
  </property>
  <property fmtid="{D5CDD505-2E9C-101B-9397-08002B2CF9AE}" pid="6" name="MSIP_Label_f6648805-0676-427f-8b3f-8deff0dc1a0a_SiteId">
    <vt:lpwstr>77d68323-6f4b-460f-8aae-d32c654ec490</vt:lpwstr>
  </property>
  <property fmtid="{D5CDD505-2E9C-101B-9397-08002B2CF9AE}" pid="7" name="MSIP_Label_f6648805-0676-427f-8b3f-8deff0dc1a0a_ActionId">
    <vt:lpwstr>8910019f-afc3-4c7e-a01d-faf16ea30937</vt:lpwstr>
  </property>
  <property fmtid="{D5CDD505-2E9C-101B-9397-08002B2CF9AE}" pid="8" name="MSIP_Label_f6648805-0676-427f-8b3f-8deff0dc1a0a_ContentBits">
    <vt:lpwstr>3</vt:lpwstr>
  </property>
  <property fmtid="{D5CDD505-2E9C-101B-9397-08002B2CF9AE}" pid="9" name="MSIP_Label_f6648805-0676-427f-8b3f-8deff0dc1a0a_Tag">
    <vt:lpwstr>10, 0, 1, 1</vt:lpwstr>
  </property>
</Properties>
</file>